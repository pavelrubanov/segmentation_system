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vel\Desktop\diplom\metric_test\"/>
    </mc:Choice>
  </mc:AlternateContent>
  <xr:revisionPtr revIDLastSave="0" documentId="13_ncr:1_{6120C02E-75C0-4970-A895-2A7D752651F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ummary" sheetId="1" r:id="rId1"/>
    <sheet name="Cross_Lines" sheetId="2" r:id="rId2"/>
    <sheet name="Leaf_Lengths" sheetId="3" r:id="rId3"/>
    <sheet name="Case_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1" i="4" l="1"/>
  <c r="I11" i="4"/>
  <c r="J10" i="4"/>
  <c r="I10" i="4"/>
  <c r="J9" i="4"/>
  <c r="I9" i="4"/>
  <c r="F9" i="4"/>
  <c r="J8" i="4"/>
  <c r="I8" i="4"/>
  <c r="F8" i="4"/>
  <c r="J7" i="4"/>
  <c r="I7" i="4"/>
  <c r="F7" i="4"/>
  <c r="J6" i="4"/>
  <c r="I6" i="4"/>
  <c r="J5" i="4"/>
  <c r="I5" i="4"/>
  <c r="F5" i="4"/>
  <c r="J4" i="4"/>
  <c r="I4" i="4"/>
  <c r="J3" i="4"/>
  <c r="I3" i="4"/>
  <c r="D11" i="3"/>
  <c r="F11" i="4" s="1"/>
  <c r="D10" i="3"/>
  <c r="E10" i="3" s="1"/>
  <c r="D9" i="3"/>
  <c r="D8" i="3"/>
  <c r="F8" i="3" s="1"/>
  <c r="D7" i="3"/>
  <c r="F7" i="3" s="1"/>
  <c r="D6" i="3"/>
  <c r="E6" i="3" s="1"/>
  <c r="D5" i="3"/>
  <c r="F5" i="3" s="1"/>
  <c r="D4" i="3"/>
  <c r="F4" i="4" s="1"/>
  <c r="D3" i="3"/>
  <c r="F3" i="4" s="1"/>
  <c r="AQ11" i="2"/>
  <c r="AE11" i="2"/>
  <c r="X11" i="2"/>
  <c r="AL11" i="2" s="1"/>
  <c r="V11" i="2"/>
  <c r="AC11" i="2" s="1"/>
  <c r="U11" i="2"/>
  <c r="AI11" i="2" s="1"/>
  <c r="T11" i="2"/>
  <c r="AH11" i="2" s="1"/>
  <c r="S11" i="2"/>
  <c r="AG11" i="2" s="1"/>
  <c r="R11" i="2"/>
  <c r="AF11" i="2" s="1"/>
  <c r="Q11" i="2"/>
  <c r="P11" i="2"/>
  <c r="AD11" i="2" s="1"/>
  <c r="AN10" i="2"/>
  <c r="AJ10" i="2"/>
  <c r="AI10" i="2"/>
  <c r="AB10" i="2"/>
  <c r="AP10" i="2" s="1"/>
  <c r="V10" i="2"/>
  <c r="AC10" i="2" s="1"/>
  <c r="AQ10" i="2" s="1"/>
  <c r="U10" i="2"/>
  <c r="T10" i="2"/>
  <c r="AA10" i="2" s="1"/>
  <c r="AO10" i="2" s="1"/>
  <c r="S10" i="2"/>
  <c r="Z10" i="2" s="1"/>
  <c r="R10" i="2"/>
  <c r="Y10" i="2" s="1"/>
  <c r="AM10" i="2" s="1"/>
  <c r="Q10" i="2"/>
  <c r="X10" i="2" s="1"/>
  <c r="AL10" i="2" s="1"/>
  <c r="P10" i="2"/>
  <c r="AI9" i="2"/>
  <c r="AF9" i="2"/>
  <c r="AE9" i="2"/>
  <c r="AD9" i="2"/>
  <c r="AT9" i="2" s="1"/>
  <c r="D9" i="4" s="1"/>
  <c r="AB9" i="2"/>
  <c r="AP9" i="2" s="1"/>
  <c r="AA9" i="2"/>
  <c r="AO9" i="2" s="1"/>
  <c r="Z9" i="2"/>
  <c r="AN9" i="2" s="1"/>
  <c r="Y9" i="2"/>
  <c r="AM9" i="2" s="1"/>
  <c r="X9" i="2"/>
  <c r="AL9" i="2" s="1"/>
  <c r="W9" i="2"/>
  <c r="AK9" i="2" s="1"/>
  <c r="V9" i="2"/>
  <c r="AJ9" i="2" s="1"/>
  <c r="U9" i="2"/>
  <c r="T9" i="2"/>
  <c r="AH9" i="2" s="1"/>
  <c r="S9" i="2"/>
  <c r="AG9" i="2" s="1"/>
  <c r="R9" i="2"/>
  <c r="Q9" i="2"/>
  <c r="P9" i="2"/>
  <c r="AQ8" i="2"/>
  <c r="AP8" i="2"/>
  <c r="AO8" i="2"/>
  <c r="AM8" i="2"/>
  <c r="AJ8" i="2"/>
  <c r="AI8" i="2"/>
  <c r="AH8" i="2"/>
  <c r="AF8" i="2"/>
  <c r="AE8" i="2"/>
  <c r="X8" i="2"/>
  <c r="AL8" i="2" s="1"/>
  <c r="W8" i="2"/>
  <c r="V8" i="2"/>
  <c r="AC8" i="2" s="1"/>
  <c r="U8" i="2"/>
  <c r="AB8" i="2" s="1"/>
  <c r="T8" i="2"/>
  <c r="AA8" i="2" s="1"/>
  <c r="S8" i="2"/>
  <c r="R8" i="2"/>
  <c r="Y8" i="2" s="1"/>
  <c r="Q8" i="2"/>
  <c r="AR8" i="2" s="1"/>
  <c r="B8" i="4" s="1"/>
  <c r="P8" i="2"/>
  <c r="AD8" i="2" s="1"/>
  <c r="AJ7" i="2"/>
  <c r="AI7" i="2"/>
  <c r="AF7" i="2"/>
  <c r="AE7" i="2"/>
  <c r="AD7" i="2"/>
  <c r="AC7" i="2"/>
  <c r="AQ7" i="2" s="1"/>
  <c r="AB7" i="2"/>
  <c r="AP7" i="2" s="1"/>
  <c r="X7" i="2"/>
  <c r="AL7" i="2" s="1"/>
  <c r="V7" i="2"/>
  <c r="U7" i="2"/>
  <c r="T7" i="2"/>
  <c r="AH7" i="2" s="1"/>
  <c r="S7" i="2"/>
  <c r="Z7" i="2" s="1"/>
  <c r="AN7" i="2" s="1"/>
  <c r="R7" i="2"/>
  <c r="Y7" i="2" s="1"/>
  <c r="AM7" i="2" s="1"/>
  <c r="Q7" i="2"/>
  <c r="P7" i="2"/>
  <c r="W7" i="2" s="1"/>
  <c r="AQ6" i="2"/>
  <c r="AE6" i="2"/>
  <c r="X6" i="2"/>
  <c r="AL6" i="2" s="1"/>
  <c r="V6" i="2"/>
  <c r="AC6" i="2" s="1"/>
  <c r="U6" i="2"/>
  <c r="AI6" i="2" s="1"/>
  <c r="T6" i="2"/>
  <c r="AH6" i="2" s="1"/>
  <c r="S6" i="2"/>
  <c r="AG6" i="2" s="1"/>
  <c r="R6" i="2"/>
  <c r="AF6" i="2" s="1"/>
  <c r="Q6" i="2"/>
  <c r="P6" i="2"/>
  <c r="AD6" i="2" s="1"/>
  <c r="AN5" i="2"/>
  <c r="AM5" i="2"/>
  <c r="AJ5" i="2"/>
  <c r="AI5" i="2"/>
  <c r="AB5" i="2"/>
  <c r="AP5" i="2" s="1"/>
  <c r="V5" i="2"/>
  <c r="AC5" i="2" s="1"/>
  <c r="AQ5" i="2" s="1"/>
  <c r="U5" i="2"/>
  <c r="T5" i="2"/>
  <c r="AH5" i="2" s="1"/>
  <c r="S5" i="2"/>
  <c r="Z5" i="2" s="1"/>
  <c r="R5" i="2"/>
  <c r="Y5" i="2" s="1"/>
  <c r="Q5" i="2"/>
  <c r="X5" i="2" s="1"/>
  <c r="AL5" i="2" s="1"/>
  <c r="P5" i="2"/>
  <c r="AI4" i="2"/>
  <c r="AF4" i="2"/>
  <c r="AE4" i="2"/>
  <c r="AD4" i="2"/>
  <c r="AB4" i="2"/>
  <c r="AP4" i="2" s="1"/>
  <c r="Z4" i="2"/>
  <c r="AN4" i="2" s="1"/>
  <c r="Y4" i="2"/>
  <c r="AM4" i="2" s="1"/>
  <c r="X4" i="2"/>
  <c r="AL4" i="2" s="1"/>
  <c r="W4" i="2"/>
  <c r="AK4" i="2" s="1"/>
  <c r="V4" i="2"/>
  <c r="AJ4" i="2" s="1"/>
  <c r="U4" i="2"/>
  <c r="T4" i="2"/>
  <c r="AH4" i="2" s="1"/>
  <c r="AT4" i="2" s="1"/>
  <c r="D4" i="4" s="1"/>
  <c r="S4" i="2"/>
  <c r="AG4" i="2" s="1"/>
  <c r="R4" i="2"/>
  <c r="Q4" i="2"/>
  <c r="P4" i="2"/>
  <c r="AO3" i="2"/>
  <c r="AM3" i="2"/>
  <c r="AI3" i="2"/>
  <c r="AH3" i="2"/>
  <c r="AF3" i="2"/>
  <c r="AE3" i="2"/>
  <c r="X3" i="2"/>
  <c r="AL3" i="2" s="1"/>
  <c r="W3" i="2"/>
  <c r="AK3" i="2" s="1"/>
  <c r="V3" i="2"/>
  <c r="AC3" i="2" s="1"/>
  <c r="AQ3" i="2" s="1"/>
  <c r="U3" i="2"/>
  <c r="AB3" i="2" s="1"/>
  <c r="AP3" i="2" s="1"/>
  <c r="T3" i="2"/>
  <c r="AA3" i="2" s="1"/>
  <c r="S3" i="2"/>
  <c r="R3" i="2"/>
  <c r="Y3" i="2" s="1"/>
  <c r="Q3" i="2"/>
  <c r="P3" i="2"/>
  <c r="AD3" i="2" s="1"/>
  <c r="F9" i="1"/>
  <c r="F8" i="1"/>
  <c r="F4" i="3" l="1"/>
  <c r="E5" i="3"/>
  <c r="E8" i="3"/>
  <c r="G8" i="4" s="1"/>
  <c r="E4" i="3"/>
  <c r="AG7" i="2"/>
  <c r="AA7" i="2"/>
  <c r="AO7" i="2" s="1"/>
  <c r="AT7" i="2"/>
  <c r="D7" i="4" s="1"/>
  <c r="G6" i="4"/>
  <c r="G6" i="3"/>
  <c r="H6" i="4" s="1"/>
  <c r="AS7" i="2"/>
  <c r="C7" i="4" s="1"/>
  <c r="AK7" i="2"/>
  <c r="AU7" i="2" s="1"/>
  <c r="E7" i="4" s="1"/>
  <c r="AS8" i="2"/>
  <c r="C8" i="4" s="1"/>
  <c r="AR5" i="2"/>
  <c r="B5" i="4" s="1"/>
  <c r="W5" i="2"/>
  <c r="AR10" i="2"/>
  <c r="B10" i="4" s="1"/>
  <c r="W10" i="2"/>
  <c r="F6" i="4"/>
  <c r="F6" i="3"/>
  <c r="AA5" i="2"/>
  <c r="AO5" i="2" s="1"/>
  <c r="AC9" i="2"/>
  <c r="AQ9" i="2" s="1"/>
  <c r="AU9" i="2" s="1"/>
  <c r="E9" i="4" s="1"/>
  <c r="D13" i="3"/>
  <c r="B9" i="1" s="1"/>
  <c r="W6" i="2"/>
  <c r="AR7" i="2"/>
  <c r="B7" i="4" s="1"/>
  <c r="AD10" i="2"/>
  <c r="AE10" i="2"/>
  <c r="AF5" i="2"/>
  <c r="Z6" i="2"/>
  <c r="AN6" i="2" s="1"/>
  <c r="AT8" i="2"/>
  <c r="D8" i="4" s="1"/>
  <c r="AG10" i="2"/>
  <c r="AA11" i="2"/>
  <c r="AO11" i="2" s="1"/>
  <c r="E9" i="3"/>
  <c r="AS3" i="2"/>
  <c r="AA4" i="2"/>
  <c r="AO4" i="2" s="1"/>
  <c r="AU4" i="2" s="1"/>
  <c r="E4" i="4" s="1"/>
  <c r="AK8" i="2"/>
  <c r="AU8" i="2" s="1"/>
  <c r="E8" i="4" s="1"/>
  <c r="AC4" i="2"/>
  <c r="AQ4" i="2" s="1"/>
  <c r="Y11" i="2"/>
  <c r="AM11" i="2" s="1"/>
  <c r="Y6" i="2"/>
  <c r="AM6" i="2" s="1"/>
  <c r="AT3" i="2"/>
  <c r="D3" i="4" s="1"/>
  <c r="AG5" i="2"/>
  <c r="AT13" i="2" s="1"/>
  <c r="D8" i="1" s="1"/>
  <c r="AA6" i="2"/>
  <c r="AO6" i="2" s="1"/>
  <c r="AH10" i="2"/>
  <c r="AB11" i="2"/>
  <c r="AP11" i="2" s="1"/>
  <c r="F9" i="3"/>
  <c r="AR3" i="2"/>
  <c r="AB6" i="2"/>
  <c r="AP6" i="2" s="1"/>
  <c r="W11" i="2"/>
  <c r="AD5" i="2"/>
  <c r="AG3" i="2"/>
  <c r="Z3" i="2"/>
  <c r="AN3" i="2" s="1"/>
  <c r="AU3" i="2" s="1"/>
  <c r="AR9" i="2"/>
  <c r="B9" i="4" s="1"/>
  <c r="AJ11" i="2"/>
  <c r="AT11" i="2" s="1"/>
  <c r="D11" i="4" s="1"/>
  <c r="F10" i="3"/>
  <c r="F10" i="4"/>
  <c r="AR11" i="2"/>
  <c r="B11" i="4" s="1"/>
  <c r="AJ3" i="2"/>
  <c r="Z11" i="2"/>
  <c r="AN11" i="2" s="1"/>
  <c r="AJ6" i="2"/>
  <c r="AT6" i="2" s="1"/>
  <c r="D6" i="4" s="1"/>
  <c r="AS9" i="2"/>
  <c r="C9" i="4" s="1"/>
  <c r="G10" i="3"/>
  <c r="H10" i="4" s="1"/>
  <c r="G10" i="4"/>
  <c r="AR6" i="2"/>
  <c r="B6" i="4" s="1"/>
  <c r="AE5" i="2"/>
  <c r="AF10" i="2"/>
  <c r="AG8" i="2"/>
  <c r="Z8" i="2"/>
  <c r="AN8" i="2" s="1"/>
  <c r="AR4" i="2"/>
  <c r="B4" i="4" s="1"/>
  <c r="E3" i="3"/>
  <c r="E7" i="3"/>
  <c r="E11" i="3"/>
  <c r="F3" i="3"/>
  <c r="F11" i="3"/>
  <c r="G8" i="3" l="1"/>
  <c r="H8" i="4" s="1"/>
  <c r="G4" i="3"/>
  <c r="H4" i="4" s="1"/>
  <c r="G4" i="4"/>
  <c r="G5" i="3"/>
  <c r="H5" i="4" s="1"/>
  <c r="G5" i="4"/>
  <c r="E3" i="4"/>
  <c r="AS10" i="2"/>
  <c r="C10" i="4" s="1"/>
  <c r="AK10" i="2"/>
  <c r="AU10" i="2" s="1"/>
  <c r="E10" i="4" s="1"/>
  <c r="G11" i="4"/>
  <c r="G11" i="3"/>
  <c r="H11" i="4" s="1"/>
  <c r="AS5" i="2"/>
  <c r="C5" i="4" s="1"/>
  <c r="AK5" i="2"/>
  <c r="AU5" i="2" s="1"/>
  <c r="E5" i="4" s="1"/>
  <c r="G7" i="3"/>
  <c r="H7" i="4" s="1"/>
  <c r="G7" i="4"/>
  <c r="E13" i="3"/>
  <c r="C9" i="1" s="1"/>
  <c r="G3" i="3"/>
  <c r="G3" i="4"/>
  <c r="AK11" i="2"/>
  <c r="AU11" i="2" s="1"/>
  <c r="E11" i="4" s="1"/>
  <c r="AS11" i="2"/>
  <c r="C11" i="4" s="1"/>
  <c r="AT10" i="2"/>
  <c r="D10" i="4" s="1"/>
  <c r="AS13" i="2"/>
  <c r="C8" i="1" s="1"/>
  <c r="C3" i="4"/>
  <c r="G9" i="4"/>
  <c r="G9" i="3"/>
  <c r="H9" i="4" s="1"/>
  <c r="B3" i="4"/>
  <c r="AR13" i="2"/>
  <c r="B8" i="1" s="1"/>
  <c r="F13" i="3"/>
  <c r="D9" i="1" s="1"/>
  <c r="AS4" i="2"/>
  <c r="C4" i="4" s="1"/>
  <c r="AT5" i="2"/>
  <c r="D5" i="4" s="1"/>
  <c r="AK6" i="2"/>
  <c r="AU6" i="2" s="1"/>
  <c r="E6" i="4" s="1"/>
  <c r="AS6" i="2"/>
  <c r="C6" i="4" s="1"/>
  <c r="G13" i="3" l="1"/>
  <c r="E9" i="1" s="1"/>
  <c r="H3" i="4"/>
  <c r="AU13" i="2"/>
  <c r="E8" i="1" s="1"/>
</calcChain>
</file>

<file path=xl/sharedStrings.xml><?xml version="1.0" encoding="utf-8"?>
<sst xmlns="http://schemas.openxmlformats.org/spreadsheetml/2006/main" count="81" uniqueCount="74">
  <si>
    <t>Сравнение автоматических и ручных измерений</t>
  </si>
  <si>
    <t>Обозначение Δ</t>
  </si>
  <si>
    <t>Автоматическое - ручное</t>
  </si>
  <si>
    <t>Итоговые метрики</t>
  </si>
  <si>
    <t>Объект</t>
  </si>
  <si>
    <t>Bias (px)</t>
  </si>
  <si>
    <t>MAE (px)</t>
  </si>
  <si>
    <t>RMSE (px)</t>
  </si>
  <si>
    <t>MAPE</t>
  </si>
  <si>
    <t>Корреляция R</t>
  </si>
  <si>
    <t>Поперечные линии</t>
  </si>
  <si>
    <t>Длины листьев</t>
  </si>
  <si>
    <t>Поперечные линии листьев</t>
  </si>
  <si>
    <t>№</t>
  </si>
  <si>
    <t>Auto_1</t>
  </si>
  <si>
    <t>Auto_2</t>
  </si>
  <si>
    <t>Auto_3</t>
  </si>
  <si>
    <t>Auto_4</t>
  </si>
  <si>
    <t>Auto_5</t>
  </si>
  <si>
    <t>Auto_6</t>
  </si>
  <si>
    <t>Auto_7</t>
  </si>
  <si>
    <t>Manual_1</t>
  </si>
  <si>
    <t>Manual_2</t>
  </si>
  <si>
    <t>Manual_3</t>
  </si>
  <si>
    <t>Manual_4</t>
  </si>
  <si>
    <t>Manual_5</t>
  </si>
  <si>
    <t>Manual_6</t>
  </si>
  <si>
    <t>Manual_7</t>
  </si>
  <si>
    <t>Δ_1</t>
  </si>
  <si>
    <t>Δ_2</t>
  </si>
  <si>
    <t>Δ_3</t>
  </si>
  <si>
    <t>Δ_4</t>
  </si>
  <si>
    <t>Δ_5</t>
  </si>
  <si>
    <t>Δ_6</t>
  </si>
  <si>
    <t>Δ_7</t>
  </si>
  <si>
    <t>|Δ|_1</t>
  </si>
  <si>
    <t>|Δ|_2</t>
  </si>
  <si>
    <t>|Δ|_3</t>
  </si>
  <si>
    <t>|Δ|_4</t>
  </si>
  <si>
    <t>|Δ|_5</t>
  </si>
  <si>
    <t>|Δ|_6</t>
  </si>
  <si>
    <t>|Δ|_7</t>
  </si>
  <si>
    <t>Δ²_1</t>
  </si>
  <si>
    <t>Δ²_2</t>
  </si>
  <si>
    <t>Δ²_3</t>
  </si>
  <si>
    <t>Δ²_4</t>
  </si>
  <si>
    <t>Δ²_5</t>
  </si>
  <si>
    <t>Δ²_6</t>
  </si>
  <si>
    <t>Δ²_7</t>
  </si>
  <si>
    <t>APE_1</t>
  </si>
  <si>
    <t>APE_2</t>
  </si>
  <si>
    <t>APE_3</t>
  </si>
  <si>
    <t>APE_4</t>
  </si>
  <si>
    <t>APE_5</t>
  </si>
  <si>
    <t>APE_6</t>
  </si>
  <si>
    <t>APE_7</t>
  </si>
  <si>
    <t>Bias</t>
  </si>
  <si>
    <t>MAE</t>
  </si>
  <si>
    <t>RMSE</t>
  </si>
  <si>
    <t>Итого</t>
  </si>
  <si>
    <t>Auto_length</t>
  </si>
  <si>
    <t>Manual_length</t>
  </si>
  <si>
    <t>Δ</t>
  </si>
  <si>
    <t>|Δ|</t>
  </si>
  <si>
    <t>Δ²</t>
  </si>
  <si>
    <t>APE</t>
  </si>
  <si>
    <t>Сводка по объектам</t>
  </si>
  <si>
    <t>Bias_cross</t>
  </si>
  <si>
    <t>MAE_cross</t>
  </si>
  <si>
    <t>RMSE_cross</t>
  </si>
  <si>
    <t>MAPE_cross</t>
  </si>
  <si>
    <t>Δ_length</t>
  </si>
  <si>
    <t>|Δ|_length</t>
  </si>
  <si>
    <t>APE_length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</si>
</sst>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3F3F3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2" fillId="0" borderId="0" xfId="1" applyFont="1"/>
    <xf numFmtId="0" fontId="3" fillId="3" borderId="0" xfId="1" applyFont="1" applyFill="1" applyAlignment="1">
      <alignment horizontal="center" vertical="center"/>
    </xf>
    <xf numFmtId="164" fontId="0" fillId="0" borderId="0" xfId="1" applyNumberFormat="1" applyFont="1"/>
    <xf numFmtId="2" fontId="0" fillId="0" borderId="0" xfId="1" applyNumberFormat="1" applyFont="1"/>
    <xf numFmtId="2" fontId="0" fillId="5" borderId="0" xfId="1" applyNumberFormat="1" applyFont="1" applyFill="1"/>
    <xf numFmtId="0" fontId="0" fillId="5" borderId="0" xfId="1" applyFont="1" applyFill="1"/>
    <xf numFmtId="164" fontId="0" fillId="5" borderId="0" xfId="1" applyNumberFormat="1" applyFont="1" applyFill="1"/>
    <xf numFmtId="0" fontId="2" fillId="4" borderId="0" xfId="1" applyFont="1" applyFill="1"/>
    <xf numFmtId="164" fontId="2" fillId="4" borderId="0" xfId="1" applyNumberFormat="1" applyFont="1" applyFill="1"/>
    <xf numFmtId="1" fontId="0" fillId="0" borderId="0" xfId="1" applyNumberFormat="1" applyFont="1"/>
    <xf numFmtId="1" fontId="0" fillId="5" borderId="0" xfId="1" applyNumberFormat="1" applyFont="1" applyFill="1"/>
    <xf numFmtId="1" fontId="4" fillId="5" borderId="0" xfId="1" applyNumberFormat="1" applyFont="1" applyFill="1"/>
    <xf numFmtId="2" fontId="4" fillId="5" borderId="0" xfId="1" applyNumberFormat="1" applyFont="1" applyFill="1"/>
    <xf numFmtId="0" fontId="4" fillId="5" borderId="0" xfId="1" applyFont="1" applyFill="1"/>
    <xf numFmtId="164" fontId="4" fillId="5" borderId="0" xfId="1" applyNumberFormat="1" applyFont="1" applyFill="1"/>
    <xf numFmtId="0" fontId="4" fillId="0" borderId="0" xfId="0" applyFont="1"/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0" applyAlignment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LeafLengths" displayName="Table_LeafLengths" ref="A2:G11">
  <autoFilter ref="A2:G11" xr:uid="{00000000-0009-0000-0100-000001000000}"/>
  <tableColumns count="7">
    <tableColumn id="1" xr3:uid="{00000000-0010-0000-0000-000001000000}" name="№"/>
    <tableColumn id="2" xr3:uid="{00000000-0010-0000-0000-000002000000}" name="Auto_length"/>
    <tableColumn id="3" xr3:uid="{00000000-0010-0000-0000-000003000000}" name="Manual_length"/>
    <tableColumn id="4" xr3:uid="{00000000-0010-0000-0000-000004000000}" name="Δ"/>
    <tableColumn id="5" xr3:uid="{00000000-0010-0000-0000-000005000000}" name="|Δ|"/>
    <tableColumn id="6" xr3:uid="{00000000-0010-0000-0000-000006000000}" name="Δ²"/>
    <tableColumn id="7" xr3:uid="{00000000-0010-0000-0000-000007000000}" name="A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seSummary" displayName="Table_CaseSummary" ref="A2:J11">
  <autoFilter ref="A2:J11" xr:uid="{00000000-0009-0000-0100-000002000000}"/>
  <tableColumns count="10">
    <tableColumn id="1" xr3:uid="{00000000-0010-0000-0100-000001000000}" name="№"/>
    <tableColumn id="2" xr3:uid="{00000000-0010-0000-0100-000002000000}" name="Bias_cross"/>
    <tableColumn id="3" xr3:uid="{00000000-0010-0000-0100-000003000000}" name="MAE_cross"/>
    <tableColumn id="4" xr3:uid="{00000000-0010-0000-0100-000004000000}" name="RMSE_cross"/>
    <tableColumn id="5" xr3:uid="{00000000-0010-0000-0100-000005000000}" name="MAPE_cross"/>
    <tableColumn id="6" xr3:uid="{00000000-0010-0000-0100-000006000000}" name="Δ_length"/>
    <tableColumn id="7" xr3:uid="{00000000-0010-0000-0100-000007000000}" name="|Δ|_length"/>
    <tableColumn id="8" xr3:uid="{00000000-0010-0000-0100-000008000000}" name="APE_length"/>
    <tableColumn id="9" xr3:uid="{00000000-0010-0000-0100-000009000000}" name="Auto_length"/>
    <tableColumn id="10" xr3:uid="{00000000-0010-0000-0100-00000A000000}" name="Manual_leng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G8" sqref="G8"/>
    </sheetView>
  </sheetViews>
  <sheetFormatPr defaultRowHeight="15" x14ac:dyDescent="0.25"/>
  <cols>
    <col min="1" max="1" width="28" customWidth="1"/>
    <col min="2" max="4" width="16" customWidth="1"/>
    <col min="5" max="5" width="12" customWidth="1"/>
    <col min="6" max="6" width="14" customWidth="1"/>
  </cols>
  <sheetData>
    <row r="1" spans="1:6" ht="18.75" x14ac:dyDescent="0.25">
      <c r="A1" s="18" t="s">
        <v>0</v>
      </c>
      <c r="B1" s="17"/>
      <c r="C1" s="17"/>
      <c r="D1" s="17"/>
      <c r="E1" s="17"/>
      <c r="F1" s="17"/>
    </row>
    <row r="3" spans="1:6" x14ac:dyDescent="0.25">
      <c r="A3" s="1" t="s">
        <v>1</v>
      </c>
      <c r="B3" t="s">
        <v>2</v>
      </c>
    </row>
    <row r="4" spans="1:6" x14ac:dyDescent="0.25">
      <c r="A4" s="1"/>
    </row>
    <row r="6" spans="1:6" ht="18.75" x14ac:dyDescent="0.25">
      <c r="A6" s="18" t="s">
        <v>3</v>
      </c>
      <c r="B6" s="17"/>
      <c r="C6" s="17"/>
      <c r="D6" s="17"/>
      <c r="E6" s="17"/>
      <c r="F6" s="17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>
        <f>Cross_Lines!AR13</f>
        <v>-2.2006349206349154</v>
      </c>
      <c r="C8">
        <f>Cross_Lines!AS13</f>
        <v>10.020000000000001</v>
      </c>
      <c r="D8">
        <f>Cross_Lines!AT13</f>
        <v>14.73877522856276</v>
      </c>
      <c r="E8" s="3">
        <f>Cross_Lines!AU13</f>
        <v>1.8862254943488914E-2</v>
      </c>
      <c r="F8">
        <f>CORREL(Cross_Lines!B3:H11,Cross_Lines!I3:O11)</f>
        <v>0.99810378559725954</v>
      </c>
    </row>
    <row r="9" spans="1:6" x14ac:dyDescent="0.25">
      <c r="A9" t="s">
        <v>11</v>
      </c>
      <c r="B9">
        <f>Leaf_Lengths!D13</f>
        <v>62.683333333333316</v>
      </c>
      <c r="C9">
        <f>Leaf_Lengths!E13</f>
        <v>62.683333333333316</v>
      </c>
      <c r="D9">
        <f>Leaf_Lengths!F13</f>
        <v>88.481038835070933</v>
      </c>
      <c r="E9" s="3">
        <f>Leaf_Lengths!G13</f>
        <v>5.8151969736718087E-2</v>
      </c>
      <c r="F9">
        <f>CORREL(Leaf_Lengths!B3:B11,Leaf_Lengths!C3:C11)</f>
        <v>0.99350852321340344</v>
      </c>
    </row>
    <row r="12" spans="1:6" ht="18.75" x14ac:dyDescent="0.25">
      <c r="A12" s="18"/>
      <c r="B12" s="17"/>
      <c r="C12" s="17"/>
      <c r="D12" s="17"/>
      <c r="E12" s="17"/>
      <c r="F12" s="17"/>
    </row>
    <row r="13" spans="1:6" x14ac:dyDescent="0.25">
      <c r="A13" s="17"/>
      <c r="B13" s="17"/>
      <c r="C13" s="17"/>
      <c r="D13" s="17"/>
      <c r="E13" s="17"/>
      <c r="F13" s="17"/>
    </row>
    <row r="14" spans="1:6" x14ac:dyDescent="0.25">
      <c r="A14" s="17"/>
      <c r="B14" s="17"/>
      <c r="C14" s="17"/>
      <c r="D14" s="17"/>
      <c r="E14" s="17"/>
      <c r="F14" s="17"/>
    </row>
    <row r="15" spans="1:6" x14ac:dyDescent="0.25">
      <c r="A15" s="17"/>
      <c r="B15" s="17"/>
      <c r="C15" s="17"/>
      <c r="D15" s="17"/>
      <c r="E15" s="17"/>
      <c r="F15" s="17"/>
    </row>
    <row r="16" spans="1:6" x14ac:dyDescent="0.25">
      <c r="A16" s="17"/>
      <c r="B16" s="17"/>
      <c r="C16" s="17"/>
      <c r="D16" s="17"/>
      <c r="E16" s="17"/>
      <c r="F16" s="17"/>
    </row>
  </sheetData>
  <mergeCells count="7">
    <mergeCell ref="A16:F16"/>
    <mergeCell ref="A13:F13"/>
    <mergeCell ref="A14:F14"/>
    <mergeCell ref="A1:F1"/>
    <mergeCell ref="A6:F6"/>
    <mergeCell ref="A12:F12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3"/>
  <sheetViews>
    <sheetView topLeftCell="Z1" workbookViewId="0">
      <selection activeCell="AL12" sqref="AL12"/>
    </sheetView>
  </sheetViews>
  <sheetFormatPr defaultRowHeight="15" x14ac:dyDescent="0.25"/>
  <cols>
    <col min="1" max="1" width="6" customWidth="1"/>
    <col min="2" max="43" width="11" customWidth="1"/>
    <col min="44" max="47" width="10" customWidth="1"/>
  </cols>
  <sheetData>
    <row r="1" spans="1:47" ht="18.75" x14ac:dyDescent="0.25">
      <c r="A1" s="18" t="s">
        <v>12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</row>
    <row r="2" spans="1:47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  <c r="U2" s="2" t="s">
        <v>33</v>
      </c>
      <c r="V2" s="2" t="s">
        <v>34</v>
      </c>
      <c r="W2" s="2" t="s">
        <v>35</v>
      </c>
      <c r="X2" s="2" t="s">
        <v>36</v>
      </c>
      <c r="Y2" s="2" t="s">
        <v>37</v>
      </c>
      <c r="Z2" s="2" t="s">
        <v>38</v>
      </c>
      <c r="AA2" s="2" t="s">
        <v>39</v>
      </c>
      <c r="AB2" s="2" t="s">
        <v>40</v>
      </c>
      <c r="AC2" s="2" t="s">
        <v>41</v>
      </c>
      <c r="AD2" s="2" t="s">
        <v>42</v>
      </c>
      <c r="AE2" s="2" t="s">
        <v>43</v>
      </c>
      <c r="AF2" s="2" t="s">
        <v>44</v>
      </c>
      <c r="AG2" s="2" t="s">
        <v>45</v>
      </c>
      <c r="AH2" s="2" t="s">
        <v>46</v>
      </c>
      <c r="AI2" s="2" t="s">
        <v>47</v>
      </c>
      <c r="AJ2" s="2" t="s">
        <v>48</v>
      </c>
      <c r="AK2" s="2" t="s">
        <v>49</v>
      </c>
      <c r="AL2" s="2" t="s">
        <v>50</v>
      </c>
      <c r="AM2" s="2" t="s">
        <v>51</v>
      </c>
      <c r="AN2" s="2" t="s">
        <v>52</v>
      </c>
      <c r="AO2" s="2" t="s">
        <v>53</v>
      </c>
      <c r="AP2" s="2" t="s">
        <v>54</v>
      </c>
      <c r="AQ2" s="2" t="s">
        <v>55</v>
      </c>
      <c r="AR2" s="2" t="s">
        <v>56</v>
      </c>
      <c r="AS2" s="2" t="s">
        <v>57</v>
      </c>
      <c r="AT2" s="2" t="s">
        <v>58</v>
      </c>
      <c r="AU2" s="2" t="s">
        <v>8</v>
      </c>
    </row>
    <row r="3" spans="1:47" x14ac:dyDescent="0.25">
      <c r="A3" s="10">
        <v>1</v>
      </c>
      <c r="B3" s="4">
        <v>119.9</v>
      </c>
      <c r="C3" s="4">
        <v>241.2</v>
      </c>
      <c r="D3" s="4">
        <v>351.5</v>
      </c>
      <c r="E3" s="4">
        <v>459.9</v>
      </c>
      <c r="F3" s="4">
        <v>506.2</v>
      </c>
      <c r="G3" s="4">
        <v>505.7</v>
      </c>
      <c r="H3" s="4">
        <v>450.6</v>
      </c>
      <c r="I3" s="4">
        <v>119.94</v>
      </c>
      <c r="J3" s="4">
        <v>230.59</v>
      </c>
      <c r="K3" s="4">
        <v>348.86</v>
      </c>
      <c r="L3" s="4">
        <v>459.95</v>
      </c>
      <c r="M3" s="4">
        <v>512.64</v>
      </c>
      <c r="N3" s="4">
        <v>516.11</v>
      </c>
      <c r="O3" s="4">
        <v>474.64</v>
      </c>
      <c r="P3">
        <f t="shared" ref="P3:P11" si="0">B3-I3</f>
        <v>-3.9999999999992042E-2</v>
      </c>
      <c r="Q3">
        <f t="shared" ref="Q3:Q11" si="1">C3-J3</f>
        <v>10.609999999999985</v>
      </c>
      <c r="R3">
        <f t="shared" ref="R3:R11" si="2">D3-K3</f>
        <v>2.6399999999999864</v>
      </c>
      <c r="S3">
        <f t="shared" ref="S3:S11" si="3">E3-L3</f>
        <v>-5.0000000000011369E-2</v>
      </c>
      <c r="T3">
        <f t="shared" ref="T3:T11" si="4">F3-M3</f>
        <v>-6.4399999999999977</v>
      </c>
      <c r="U3">
        <f t="shared" ref="U3:U11" si="5">G3-N3</f>
        <v>-10.410000000000025</v>
      </c>
      <c r="V3">
        <f t="shared" ref="V3:V11" si="6">H3-O3</f>
        <v>-24.039999999999964</v>
      </c>
      <c r="W3">
        <f t="shared" ref="W3:W11" si="7">ABS(P3)</f>
        <v>3.9999999999992042E-2</v>
      </c>
      <c r="X3">
        <f t="shared" ref="X3:X11" si="8">ABS(Q3)</f>
        <v>10.609999999999985</v>
      </c>
      <c r="Y3">
        <f t="shared" ref="Y3:Y11" si="9">ABS(R3)</f>
        <v>2.6399999999999864</v>
      </c>
      <c r="Z3">
        <f t="shared" ref="Z3:Z11" si="10">ABS(S3)</f>
        <v>5.0000000000011369E-2</v>
      </c>
      <c r="AA3">
        <f t="shared" ref="AA3:AA11" si="11">ABS(T3)</f>
        <v>6.4399999999999977</v>
      </c>
      <c r="AB3">
        <f t="shared" ref="AB3:AB11" si="12">ABS(U3)</f>
        <v>10.410000000000025</v>
      </c>
      <c r="AC3">
        <f t="shared" ref="AC3:AC11" si="13">ABS(V3)</f>
        <v>24.039999999999964</v>
      </c>
      <c r="AD3">
        <f t="shared" ref="AD3:AD11" si="14">P3^2</f>
        <v>1.5999999999993634E-3</v>
      </c>
      <c r="AE3">
        <f t="shared" ref="AE3:AE11" si="15">Q3^2</f>
        <v>112.57209999999969</v>
      </c>
      <c r="AF3">
        <f t="shared" ref="AF3:AF11" si="16">R3^2</f>
        <v>6.9695999999999279</v>
      </c>
      <c r="AG3">
        <f t="shared" ref="AG3:AG11" si="17">S3^2</f>
        <v>2.5000000000011367E-3</v>
      </c>
      <c r="AH3">
        <f t="shared" ref="AH3:AH11" si="18">T3^2</f>
        <v>41.473599999999969</v>
      </c>
      <c r="AI3">
        <f t="shared" ref="AI3:AI11" si="19">U3^2</f>
        <v>108.36810000000052</v>
      </c>
      <c r="AJ3">
        <f t="shared" ref="AJ3:AJ11" si="20">V3^2</f>
        <v>577.92159999999831</v>
      </c>
      <c r="AK3" s="3">
        <f t="shared" ref="AK3:AK11" si="21">W3/I3</f>
        <v>3.3350008337495448E-4</v>
      </c>
      <c r="AL3" s="3">
        <f t="shared" ref="AL3:AL11" si="22">X3/J3</f>
        <v>4.6012402966303767E-2</v>
      </c>
      <c r="AM3" s="3">
        <f t="shared" ref="AM3:AM11" si="23">Y3/K3</f>
        <v>7.5675055896347711E-3</v>
      </c>
      <c r="AN3" s="3">
        <f t="shared" ref="AN3:AN11" si="24">Z3/L3</f>
        <v>1.0870746820309027E-4</v>
      </c>
      <c r="AO3" s="3">
        <f t="shared" ref="AO3:AO11" si="25">AA3/M3</f>
        <v>1.2562421972534328E-2</v>
      </c>
      <c r="AP3" s="3">
        <f t="shared" ref="AP3:AP11" si="26">AB3/N3</f>
        <v>2.0170118773129807E-2</v>
      </c>
      <c r="AQ3" s="3">
        <f t="shared" ref="AQ3:AQ11" si="27">AC3/O3</f>
        <v>5.0648912860272975E-2</v>
      </c>
      <c r="AR3">
        <f t="shared" ref="AR3:AR11" si="28">AVERAGE(P3:V3)</f>
        <v>-3.961428571428574</v>
      </c>
      <c r="AS3">
        <f t="shared" ref="AS3:AS11" si="29">AVERAGE(W3:AC3)</f>
        <v>7.747142857142852</v>
      </c>
      <c r="AT3">
        <f t="shared" ref="AT3:AT11" si="30">SQRT(AVERAGE(AD3:AJ3))</f>
        <v>11.002006959771336</v>
      </c>
      <c r="AU3" s="3">
        <f t="shared" ref="AU3:AU11" si="31">AVERAGE(AK3:AQ3)</f>
        <v>1.9629081387636242E-2</v>
      </c>
    </row>
    <row r="4" spans="1:47" x14ac:dyDescent="0.25">
      <c r="A4" s="10">
        <v>2</v>
      </c>
      <c r="B4" s="4">
        <v>452.3</v>
      </c>
      <c r="C4" s="4">
        <v>518.6</v>
      </c>
      <c r="D4" s="4">
        <v>522.6</v>
      </c>
      <c r="E4" s="4">
        <v>525.6</v>
      </c>
      <c r="F4" s="4">
        <v>534.70000000000005</v>
      </c>
      <c r="G4" s="4">
        <v>552.70000000000005</v>
      </c>
      <c r="H4" s="4">
        <v>582.9</v>
      </c>
      <c r="I4" s="4">
        <v>469.05</v>
      </c>
      <c r="J4" s="4">
        <v>533.11</v>
      </c>
      <c r="K4" s="4">
        <v>525.14</v>
      </c>
      <c r="L4" s="4">
        <v>530.16</v>
      </c>
      <c r="M4" s="4">
        <v>540.13</v>
      </c>
      <c r="N4" s="4">
        <v>556.4</v>
      </c>
      <c r="O4" s="4">
        <v>564.26</v>
      </c>
      <c r="P4">
        <f t="shared" si="0"/>
        <v>-16.75</v>
      </c>
      <c r="Q4">
        <f t="shared" si="1"/>
        <v>-14.509999999999991</v>
      </c>
      <c r="R4">
        <f t="shared" si="2"/>
        <v>-2.5399999999999636</v>
      </c>
      <c r="S4">
        <f t="shared" si="3"/>
        <v>-4.5599999999999454</v>
      </c>
      <c r="T4">
        <f t="shared" si="4"/>
        <v>-5.42999999999995</v>
      </c>
      <c r="U4">
        <f t="shared" si="5"/>
        <v>-3.6999999999999318</v>
      </c>
      <c r="V4">
        <f t="shared" si="6"/>
        <v>18.639999999999986</v>
      </c>
      <c r="W4">
        <f t="shared" si="7"/>
        <v>16.75</v>
      </c>
      <c r="X4">
        <f t="shared" si="8"/>
        <v>14.509999999999991</v>
      </c>
      <c r="Y4">
        <f t="shared" si="9"/>
        <v>2.5399999999999636</v>
      </c>
      <c r="Z4">
        <f t="shared" si="10"/>
        <v>4.5599999999999454</v>
      </c>
      <c r="AA4">
        <f t="shared" si="11"/>
        <v>5.42999999999995</v>
      </c>
      <c r="AB4">
        <f t="shared" si="12"/>
        <v>3.6999999999999318</v>
      </c>
      <c r="AC4">
        <f t="shared" si="13"/>
        <v>18.639999999999986</v>
      </c>
      <c r="AD4">
        <f t="shared" si="14"/>
        <v>280.5625</v>
      </c>
      <c r="AE4">
        <f t="shared" si="15"/>
        <v>210.54009999999974</v>
      </c>
      <c r="AF4">
        <f t="shared" si="16"/>
        <v>6.4515999999998153</v>
      </c>
      <c r="AG4">
        <f t="shared" si="17"/>
        <v>20.793599999999504</v>
      </c>
      <c r="AH4">
        <f t="shared" si="18"/>
        <v>29.484899999999456</v>
      </c>
      <c r="AI4">
        <f t="shared" si="19"/>
        <v>13.689999999999495</v>
      </c>
      <c r="AJ4">
        <f t="shared" si="20"/>
        <v>347.44959999999946</v>
      </c>
      <c r="AK4" s="3">
        <f t="shared" si="21"/>
        <v>3.5710478627012043E-2</v>
      </c>
      <c r="AL4" s="3">
        <f t="shared" si="22"/>
        <v>2.7217647389844481E-2</v>
      </c>
      <c r="AM4" s="3">
        <f t="shared" si="23"/>
        <v>4.8368054233156182E-3</v>
      </c>
      <c r="AN4" s="3">
        <f t="shared" si="24"/>
        <v>8.6011770031687515E-3</v>
      </c>
      <c r="AO4" s="3">
        <f t="shared" si="25"/>
        <v>1.005313535630302E-2</v>
      </c>
      <c r="AP4" s="3">
        <f t="shared" si="26"/>
        <v>6.6498921639107332E-3</v>
      </c>
      <c r="AQ4" s="3">
        <f t="shared" si="27"/>
        <v>3.3034416758231995E-2</v>
      </c>
      <c r="AR4">
        <f t="shared" si="28"/>
        <v>-4.1214285714285426</v>
      </c>
      <c r="AS4">
        <f t="shared" si="29"/>
        <v>9.4471428571428238</v>
      </c>
      <c r="AT4">
        <f t="shared" si="30"/>
        <v>11.3953141998931</v>
      </c>
      <c r="AU4" s="3">
        <f t="shared" si="31"/>
        <v>1.801479324596952E-2</v>
      </c>
    </row>
    <row r="5" spans="1:47" x14ac:dyDescent="0.25">
      <c r="A5" s="10">
        <v>3</v>
      </c>
      <c r="B5" s="4">
        <v>517.9</v>
      </c>
      <c r="C5" s="4">
        <v>600.4</v>
      </c>
      <c r="D5" s="4">
        <v>623</v>
      </c>
      <c r="E5" s="4">
        <v>575.20000000000005</v>
      </c>
      <c r="F5" s="4">
        <v>442.6</v>
      </c>
      <c r="G5" s="4">
        <v>291.5</v>
      </c>
      <c r="H5" s="4">
        <v>162.9</v>
      </c>
      <c r="I5" s="4">
        <v>518.92999999999995</v>
      </c>
      <c r="J5" s="4">
        <v>602.70000000000005</v>
      </c>
      <c r="K5" s="4">
        <v>623.46</v>
      </c>
      <c r="L5" s="4">
        <v>579.88</v>
      </c>
      <c r="M5" s="4">
        <v>438.83</v>
      </c>
      <c r="N5" s="4">
        <v>293.44</v>
      </c>
      <c r="O5" s="4">
        <v>165.19</v>
      </c>
      <c r="P5">
        <f t="shared" si="0"/>
        <v>-1.0299999999999727</v>
      </c>
      <c r="Q5">
        <f t="shared" si="1"/>
        <v>-2.3000000000000682</v>
      </c>
      <c r="R5">
        <f t="shared" si="2"/>
        <v>-0.46000000000003638</v>
      </c>
      <c r="S5">
        <f t="shared" si="3"/>
        <v>-4.67999999999995</v>
      </c>
      <c r="T5">
        <f t="shared" si="4"/>
        <v>3.7700000000000387</v>
      </c>
      <c r="U5">
        <f t="shared" si="5"/>
        <v>-1.9399999999999977</v>
      </c>
      <c r="V5">
        <f t="shared" si="6"/>
        <v>-2.289999999999992</v>
      </c>
      <c r="W5">
        <f t="shared" si="7"/>
        <v>1.0299999999999727</v>
      </c>
      <c r="X5">
        <f t="shared" si="8"/>
        <v>2.3000000000000682</v>
      </c>
      <c r="Y5">
        <f t="shared" si="9"/>
        <v>0.46000000000003638</v>
      </c>
      <c r="Z5">
        <f t="shared" si="10"/>
        <v>4.67999999999995</v>
      </c>
      <c r="AA5">
        <f t="shared" si="11"/>
        <v>3.7700000000000387</v>
      </c>
      <c r="AB5">
        <f t="shared" si="12"/>
        <v>1.9399999999999977</v>
      </c>
      <c r="AC5">
        <f t="shared" si="13"/>
        <v>2.289999999999992</v>
      </c>
      <c r="AD5">
        <f t="shared" si="14"/>
        <v>1.0608999999999438</v>
      </c>
      <c r="AE5">
        <f t="shared" si="15"/>
        <v>5.2900000000003136</v>
      </c>
      <c r="AF5">
        <f t="shared" si="16"/>
        <v>0.21160000000003346</v>
      </c>
      <c r="AG5">
        <f t="shared" si="17"/>
        <v>21.902399999999531</v>
      </c>
      <c r="AH5">
        <f t="shared" si="18"/>
        <v>14.212900000000291</v>
      </c>
      <c r="AI5">
        <f t="shared" si="19"/>
        <v>3.7635999999999914</v>
      </c>
      <c r="AJ5">
        <f t="shared" si="20"/>
        <v>5.2440999999999631</v>
      </c>
      <c r="AK5" s="3">
        <f t="shared" si="21"/>
        <v>1.9848534484419342E-3</v>
      </c>
      <c r="AL5" s="3">
        <f t="shared" si="22"/>
        <v>3.8161606105858105E-3</v>
      </c>
      <c r="AM5" s="3">
        <f t="shared" si="23"/>
        <v>7.3781798351143038E-4</v>
      </c>
      <c r="AN5" s="3">
        <f t="shared" si="24"/>
        <v>8.0706353038558845E-3</v>
      </c>
      <c r="AO5" s="3">
        <f t="shared" si="25"/>
        <v>8.5910261376843846E-3</v>
      </c>
      <c r="AP5" s="3">
        <f t="shared" si="26"/>
        <v>6.6112322791712025E-3</v>
      </c>
      <c r="AQ5" s="3">
        <f t="shared" si="27"/>
        <v>1.3862824626187977E-2</v>
      </c>
      <c r="AR5">
        <f t="shared" si="28"/>
        <v>-1.2757142857142827</v>
      </c>
      <c r="AS5">
        <f t="shared" si="29"/>
        <v>2.3528571428571508</v>
      </c>
      <c r="AT5">
        <f t="shared" si="30"/>
        <v>2.7172859358453363</v>
      </c>
      <c r="AU5" s="3">
        <f t="shared" si="31"/>
        <v>6.2392214842055182E-3</v>
      </c>
    </row>
    <row r="6" spans="1:47" x14ac:dyDescent="0.25">
      <c r="A6" s="10">
        <v>4</v>
      </c>
      <c r="B6" s="4">
        <v>781.8</v>
      </c>
      <c r="C6" s="4">
        <v>877</v>
      </c>
      <c r="D6" s="4">
        <v>923.6</v>
      </c>
      <c r="E6" s="4">
        <v>913.5</v>
      </c>
      <c r="F6" s="4">
        <v>886</v>
      </c>
      <c r="G6" s="4">
        <v>873.8</v>
      </c>
      <c r="H6" s="4">
        <v>875</v>
      </c>
      <c r="I6" s="4">
        <v>789.44</v>
      </c>
      <c r="J6" s="4">
        <v>880.91</v>
      </c>
      <c r="K6" s="4">
        <v>918.69</v>
      </c>
      <c r="L6" s="4">
        <v>924.13</v>
      </c>
      <c r="M6" s="4">
        <v>912.01</v>
      </c>
      <c r="N6" s="4">
        <v>903.78</v>
      </c>
      <c r="O6" s="4">
        <v>890.94</v>
      </c>
      <c r="P6">
        <f t="shared" si="0"/>
        <v>-7.6400000000001</v>
      </c>
      <c r="Q6">
        <f t="shared" si="1"/>
        <v>-3.9099999999999682</v>
      </c>
      <c r="R6">
        <f t="shared" si="2"/>
        <v>4.9099999999999682</v>
      </c>
      <c r="S6">
        <f t="shared" si="3"/>
        <v>-10.629999999999995</v>
      </c>
      <c r="T6">
        <f t="shared" si="4"/>
        <v>-26.009999999999991</v>
      </c>
      <c r="U6">
        <f t="shared" si="5"/>
        <v>-29.980000000000018</v>
      </c>
      <c r="V6">
        <f t="shared" si="6"/>
        <v>-15.940000000000055</v>
      </c>
      <c r="W6">
        <f t="shared" si="7"/>
        <v>7.6400000000001</v>
      </c>
      <c r="X6">
        <f t="shared" si="8"/>
        <v>3.9099999999999682</v>
      </c>
      <c r="Y6">
        <f t="shared" si="9"/>
        <v>4.9099999999999682</v>
      </c>
      <c r="Z6">
        <f t="shared" si="10"/>
        <v>10.629999999999995</v>
      </c>
      <c r="AA6">
        <f t="shared" si="11"/>
        <v>26.009999999999991</v>
      </c>
      <c r="AB6">
        <f t="shared" si="12"/>
        <v>29.980000000000018</v>
      </c>
      <c r="AC6">
        <f t="shared" si="13"/>
        <v>15.940000000000055</v>
      </c>
      <c r="AD6">
        <f t="shared" si="14"/>
        <v>58.369600000001526</v>
      </c>
      <c r="AE6">
        <f t="shared" si="15"/>
        <v>15.288099999999751</v>
      </c>
      <c r="AF6">
        <f t="shared" si="16"/>
        <v>24.108099999999688</v>
      </c>
      <c r="AG6">
        <f t="shared" si="17"/>
        <v>112.9968999999999</v>
      </c>
      <c r="AH6">
        <f t="shared" si="18"/>
        <v>676.5200999999995</v>
      </c>
      <c r="AI6">
        <f t="shared" si="19"/>
        <v>898.8004000000011</v>
      </c>
      <c r="AJ6">
        <f t="shared" si="20"/>
        <v>254.08360000000175</v>
      </c>
      <c r="AK6" s="3">
        <f t="shared" si="21"/>
        <v>9.6777462505068142E-3</v>
      </c>
      <c r="AL6" s="3">
        <f t="shared" si="22"/>
        <v>4.4385919106378268E-3</v>
      </c>
      <c r="AM6" s="3">
        <f t="shared" si="23"/>
        <v>5.3445667200034486E-3</v>
      </c>
      <c r="AN6" s="3">
        <f t="shared" si="24"/>
        <v>1.150271065759146E-2</v>
      </c>
      <c r="AO6" s="3">
        <f t="shared" si="25"/>
        <v>2.8519424129121382E-2</v>
      </c>
      <c r="AP6" s="3">
        <f t="shared" si="26"/>
        <v>3.3171789594812921E-2</v>
      </c>
      <c r="AQ6" s="3">
        <f t="shared" si="27"/>
        <v>1.7891216019036135E-2</v>
      </c>
      <c r="AR6">
        <f t="shared" si="28"/>
        <v>-12.742857142857165</v>
      </c>
      <c r="AS6">
        <f t="shared" si="29"/>
        <v>14.1457142857143</v>
      </c>
      <c r="AT6">
        <f t="shared" si="30"/>
        <v>17.071977038410065</v>
      </c>
      <c r="AU6" s="3">
        <f t="shared" si="31"/>
        <v>1.5792292183101426E-2</v>
      </c>
    </row>
    <row r="7" spans="1:47" s="16" customFormat="1" x14ac:dyDescent="0.25">
      <c r="A7" s="12">
        <v>5</v>
      </c>
      <c r="B7" s="13">
        <v>621.6</v>
      </c>
      <c r="C7" s="13">
        <v>773.2</v>
      </c>
      <c r="D7" s="13">
        <v>836.5</v>
      </c>
      <c r="E7" s="13">
        <v>767.7</v>
      </c>
      <c r="F7" s="13">
        <v>618.4</v>
      </c>
      <c r="G7" s="13">
        <v>426.7</v>
      </c>
      <c r="H7" s="13">
        <v>198.6</v>
      </c>
      <c r="I7" s="13">
        <v>668.54</v>
      </c>
      <c r="J7" s="13">
        <v>797.53</v>
      </c>
      <c r="K7" s="13">
        <v>848.25</v>
      </c>
      <c r="L7" s="13">
        <v>767.19</v>
      </c>
      <c r="M7" s="13">
        <v>625.51</v>
      </c>
      <c r="N7" s="13">
        <v>429.46</v>
      </c>
      <c r="O7" s="13">
        <v>205.57</v>
      </c>
      <c r="P7" s="14">
        <f t="shared" si="0"/>
        <v>-46.939999999999941</v>
      </c>
      <c r="Q7" s="14">
        <f t="shared" si="1"/>
        <v>-24.329999999999927</v>
      </c>
      <c r="R7" s="14">
        <f t="shared" si="2"/>
        <v>-11.75</v>
      </c>
      <c r="S7" s="14">
        <f t="shared" si="3"/>
        <v>0.50999999999999091</v>
      </c>
      <c r="T7" s="14">
        <f t="shared" si="4"/>
        <v>-7.1100000000000136</v>
      </c>
      <c r="U7" s="14">
        <f t="shared" si="5"/>
        <v>-2.7599999999999909</v>
      </c>
      <c r="V7" s="14">
        <f t="shared" si="6"/>
        <v>-6.9699999999999989</v>
      </c>
      <c r="W7" s="14">
        <f t="shared" si="7"/>
        <v>46.939999999999941</v>
      </c>
      <c r="X7" s="14">
        <f t="shared" si="8"/>
        <v>24.329999999999927</v>
      </c>
      <c r="Y7" s="14">
        <f t="shared" si="9"/>
        <v>11.75</v>
      </c>
      <c r="Z7" s="14">
        <f t="shared" si="10"/>
        <v>0.50999999999999091</v>
      </c>
      <c r="AA7" s="14">
        <f t="shared" si="11"/>
        <v>7.1100000000000136</v>
      </c>
      <c r="AB7" s="14">
        <f t="shared" si="12"/>
        <v>2.7599999999999909</v>
      </c>
      <c r="AC7" s="14">
        <f t="shared" si="13"/>
        <v>6.9699999999999989</v>
      </c>
      <c r="AD7" s="14">
        <f t="shared" si="14"/>
        <v>2203.3635999999947</v>
      </c>
      <c r="AE7" s="14">
        <f t="shared" si="15"/>
        <v>591.94889999999646</v>
      </c>
      <c r="AF7" s="14">
        <f t="shared" si="16"/>
        <v>138.0625</v>
      </c>
      <c r="AG7" s="14">
        <f t="shared" si="17"/>
        <v>0.26009999999999073</v>
      </c>
      <c r="AH7" s="14">
        <f t="shared" si="18"/>
        <v>50.552100000000195</v>
      </c>
      <c r="AI7" s="14">
        <f t="shared" si="19"/>
        <v>7.6175999999999497</v>
      </c>
      <c r="AJ7" s="14">
        <f t="shared" si="20"/>
        <v>48.580899999999986</v>
      </c>
      <c r="AK7" s="15">
        <f t="shared" si="21"/>
        <v>7.0212702306518604E-2</v>
      </c>
      <c r="AL7" s="15">
        <f t="shared" si="22"/>
        <v>3.0506689403533318E-2</v>
      </c>
      <c r="AM7" s="15">
        <f t="shared" si="23"/>
        <v>1.3852048334806955E-2</v>
      </c>
      <c r="AN7" s="15">
        <f t="shared" si="24"/>
        <v>6.6476361787821904E-4</v>
      </c>
      <c r="AO7" s="15">
        <f t="shared" si="25"/>
        <v>1.1366724752601899E-2</v>
      </c>
      <c r="AP7" s="15">
        <f t="shared" si="26"/>
        <v>6.4266753597540891E-3</v>
      </c>
      <c r="AQ7" s="15">
        <f t="shared" si="27"/>
        <v>3.3905725543610446E-2</v>
      </c>
      <c r="AR7" s="14">
        <f t="shared" si="28"/>
        <v>-14.192857142857125</v>
      </c>
      <c r="AS7" s="14">
        <f t="shared" si="29"/>
        <v>14.338571428571409</v>
      </c>
      <c r="AT7" s="14">
        <f t="shared" si="30"/>
        <v>20.840844855372659</v>
      </c>
      <c r="AU7" s="15">
        <f t="shared" si="31"/>
        <v>2.3847904188386219E-2</v>
      </c>
    </row>
    <row r="8" spans="1:47" s="16" customFormat="1" x14ac:dyDescent="0.25">
      <c r="A8" s="12">
        <v>6</v>
      </c>
      <c r="B8" s="13">
        <v>529.4</v>
      </c>
      <c r="C8" s="13">
        <v>530.20000000000005</v>
      </c>
      <c r="D8" s="13">
        <v>518.9</v>
      </c>
      <c r="E8" s="13">
        <v>493.1</v>
      </c>
      <c r="F8" s="13">
        <v>433.6</v>
      </c>
      <c r="G8" s="13">
        <v>356</v>
      </c>
      <c r="H8" s="13">
        <v>241.7</v>
      </c>
      <c r="I8" s="13">
        <v>549.57000000000005</v>
      </c>
      <c r="J8" s="13">
        <v>528.76</v>
      </c>
      <c r="K8" s="13">
        <v>520.52</v>
      </c>
      <c r="L8" s="13">
        <v>483.84</v>
      </c>
      <c r="M8" s="13">
        <v>414.27</v>
      </c>
      <c r="N8" s="13">
        <v>336.88</v>
      </c>
      <c r="O8" s="13">
        <v>217.7</v>
      </c>
      <c r="P8" s="14">
        <f t="shared" si="0"/>
        <v>-20.170000000000073</v>
      </c>
      <c r="Q8" s="14">
        <f t="shared" si="1"/>
        <v>1.4400000000000546</v>
      </c>
      <c r="R8" s="14">
        <f t="shared" si="2"/>
        <v>-1.6200000000000045</v>
      </c>
      <c r="S8" s="14">
        <f t="shared" si="3"/>
        <v>9.2600000000000477</v>
      </c>
      <c r="T8" s="14">
        <f t="shared" si="4"/>
        <v>19.330000000000041</v>
      </c>
      <c r="U8" s="14">
        <f t="shared" si="5"/>
        <v>19.120000000000005</v>
      </c>
      <c r="V8" s="14">
        <f t="shared" si="6"/>
        <v>24</v>
      </c>
      <c r="W8" s="14">
        <f t="shared" si="7"/>
        <v>20.170000000000073</v>
      </c>
      <c r="X8" s="14">
        <f t="shared" si="8"/>
        <v>1.4400000000000546</v>
      </c>
      <c r="Y8" s="14">
        <f t="shared" si="9"/>
        <v>1.6200000000000045</v>
      </c>
      <c r="Z8" s="14">
        <f t="shared" si="10"/>
        <v>9.2600000000000477</v>
      </c>
      <c r="AA8" s="14">
        <f t="shared" si="11"/>
        <v>19.330000000000041</v>
      </c>
      <c r="AB8" s="14">
        <f t="shared" si="12"/>
        <v>19.120000000000005</v>
      </c>
      <c r="AC8" s="14">
        <f t="shared" si="13"/>
        <v>24</v>
      </c>
      <c r="AD8" s="14">
        <f t="shared" si="14"/>
        <v>406.82890000000293</v>
      </c>
      <c r="AE8" s="14">
        <f t="shared" si="15"/>
        <v>2.0736000000001571</v>
      </c>
      <c r="AF8" s="14">
        <f t="shared" si="16"/>
        <v>2.6244000000000147</v>
      </c>
      <c r="AG8" s="14">
        <f t="shared" si="17"/>
        <v>85.747600000000887</v>
      </c>
      <c r="AH8" s="14">
        <f t="shared" si="18"/>
        <v>373.64890000000156</v>
      </c>
      <c r="AI8" s="14">
        <f t="shared" si="19"/>
        <v>365.5744000000002</v>
      </c>
      <c r="AJ8" s="14">
        <f t="shared" si="20"/>
        <v>576</v>
      </c>
      <c r="AK8" s="15">
        <f t="shared" si="21"/>
        <v>3.6701421111050583E-2</v>
      </c>
      <c r="AL8" s="15">
        <f t="shared" si="22"/>
        <v>2.7233527498298936E-3</v>
      </c>
      <c r="AM8" s="15">
        <f t="shared" si="23"/>
        <v>3.1122723430415827E-3</v>
      </c>
      <c r="AN8" s="15">
        <f t="shared" si="24"/>
        <v>1.9138558201058302E-2</v>
      </c>
      <c r="AO8" s="15">
        <f t="shared" si="25"/>
        <v>4.6660390566538833E-2</v>
      </c>
      <c r="AP8" s="15">
        <f t="shared" si="26"/>
        <v>5.6756114937069592E-2</v>
      </c>
      <c r="AQ8" s="15">
        <f t="shared" si="27"/>
        <v>0.11024345429490125</v>
      </c>
      <c r="AR8" s="14">
        <f t="shared" si="28"/>
        <v>7.337142857142867</v>
      </c>
      <c r="AS8" s="14">
        <f t="shared" si="29"/>
        <v>13.562857142857174</v>
      </c>
      <c r="AT8" s="14">
        <f t="shared" si="30"/>
        <v>16.091247842938035</v>
      </c>
      <c r="AU8" s="15">
        <f t="shared" si="31"/>
        <v>3.9333652029070007E-2</v>
      </c>
    </row>
    <row r="9" spans="1:47" x14ac:dyDescent="0.25">
      <c r="A9" s="10">
        <v>7</v>
      </c>
      <c r="B9" s="4">
        <v>1007.9</v>
      </c>
      <c r="C9" s="4">
        <v>1035.9000000000001</v>
      </c>
      <c r="D9" s="4">
        <v>982.4</v>
      </c>
      <c r="E9" s="4">
        <v>945.8</v>
      </c>
      <c r="F9" s="4">
        <v>910.6</v>
      </c>
      <c r="G9" s="4">
        <v>841.1</v>
      </c>
      <c r="H9" s="4">
        <v>663</v>
      </c>
      <c r="I9" s="4">
        <v>1032.76</v>
      </c>
      <c r="J9" s="4">
        <v>992.25</v>
      </c>
      <c r="K9" s="4">
        <v>969.15</v>
      </c>
      <c r="L9" s="4">
        <v>944.05</v>
      </c>
      <c r="M9" s="4">
        <v>915.82</v>
      </c>
      <c r="N9" s="4">
        <v>818.46</v>
      </c>
      <c r="O9" s="4">
        <v>627.21</v>
      </c>
      <c r="P9">
        <f t="shared" si="0"/>
        <v>-24.860000000000014</v>
      </c>
      <c r="Q9">
        <f t="shared" si="1"/>
        <v>43.650000000000091</v>
      </c>
      <c r="R9">
        <f t="shared" si="2"/>
        <v>13.25</v>
      </c>
      <c r="S9">
        <f t="shared" si="3"/>
        <v>1.75</v>
      </c>
      <c r="T9">
        <f t="shared" si="4"/>
        <v>-5.2200000000000273</v>
      </c>
      <c r="U9">
        <f t="shared" si="5"/>
        <v>22.639999999999986</v>
      </c>
      <c r="V9">
        <f t="shared" si="6"/>
        <v>35.789999999999964</v>
      </c>
      <c r="W9">
        <f t="shared" si="7"/>
        <v>24.860000000000014</v>
      </c>
      <c r="X9">
        <f t="shared" si="8"/>
        <v>43.650000000000091</v>
      </c>
      <c r="Y9">
        <f t="shared" si="9"/>
        <v>13.25</v>
      </c>
      <c r="Z9">
        <f t="shared" si="10"/>
        <v>1.75</v>
      </c>
      <c r="AA9">
        <f t="shared" si="11"/>
        <v>5.2200000000000273</v>
      </c>
      <c r="AB9">
        <f t="shared" si="12"/>
        <v>22.639999999999986</v>
      </c>
      <c r="AC9">
        <f t="shared" si="13"/>
        <v>35.789999999999964</v>
      </c>
      <c r="AD9">
        <f t="shared" si="14"/>
        <v>618.01960000000065</v>
      </c>
      <c r="AE9">
        <f t="shared" si="15"/>
        <v>1905.3225000000079</v>
      </c>
      <c r="AF9">
        <f t="shared" si="16"/>
        <v>175.5625</v>
      </c>
      <c r="AG9">
        <f t="shared" si="17"/>
        <v>3.0625</v>
      </c>
      <c r="AH9">
        <f t="shared" si="18"/>
        <v>27.248400000000284</v>
      </c>
      <c r="AI9">
        <f t="shared" si="19"/>
        <v>512.56959999999935</v>
      </c>
      <c r="AJ9">
        <f t="shared" si="20"/>
        <v>1280.9240999999975</v>
      </c>
      <c r="AK9" s="3">
        <f t="shared" si="21"/>
        <v>2.4071420271892807E-2</v>
      </c>
      <c r="AL9" s="3">
        <f t="shared" si="22"/>
        <v>4.3990929705215509E-2</v>
      </c>
      <c r="AM9" s="3">
        <f t="shared" si="23"/>
        <v>1.3671774235154517E-2</v>
      </c>
      <c r="AN9" s="3">
        <f t="shared" si="24"/>
        <v>1.8537153752449553E-3</v>
      </c>
      <c r="AO9" s="3">
        <f t="shared" si="25"/>
        <v>5.6998100063331515E-3</v>
      </c>
      <c r="AP9" s="3">
        <f t="shared" si="26"/>
        <v>2.7661706131026545E-2</v>
      </c>
      <c r="AQ9" s="3">
        <f t="shared" si="27"/>
        <v>5.7062227961926566E-2</v>
      </c>
      <c r="AR9">
        <f t="shared" si="28"/>
        <v>12.428571428571429</v>
      </c>
      <c r="AS9">
        <f t="shared" si="29"/>
        <v>21.022857142857156</v>
      </c>
      <c r="AT9">
        <f t="shared" si="30"/>
        <v>25.418523054766876</v>
      </c>
      <c r="AU9" s="3">
        <f t="shared" si="31"/>
        <v>2.4858797669542011E-2</v>
      </c>
    </row>
    <row r="10" spans="1:47" x14ac:dyDescent="0.25">
      <c r="A10" s="10">
        <v>8</v>
      </c>
      <c r="B10" s="4">
        <v>256.2</v>
      </c>
      <c r="C10" s="4">
        <v>364.5</v>
      </c>
      <c r="D10" s="4">
        <v>430.6</v>
      </c>
      <c r="E10" s="4">
        <v>468.6</v>
      </c>
      <c r="F10" s="4">
        <v>521.9</v>
      </c>
      <c r="G10" s="4">
        <v>572.9</v>
      </c>
      <c r="H10" s="4">
        <v>596.5</v>
      </c>
      <c r="I10" s="4">
        <v>261.73</v>
      </c>
      <c r="J10" s="4">
        <v>365.31</v>
      </c>
      <c r="K10" s="4">
        <v>432.05</v>
      </c>
      <c r="L10" s="4">
        <v>470.35</v>
      </c>
      <c r="M10" s="4">
        <v>514.39</v>
      </c>
      <c r="N10" s="4">
        <v>574.28</v>
      </c>
      <c r="O10" s="4">
        <v>592.15</v>
      </c>
      <c r="P10">
        <f t="shared" si="0"/>
        <v>-5.5300000000000296</v>
      </c>
      <c r="Q10">
        <f t="shared" si="1"/>
        <v>-0.81000000000000227</v>
      </c>
      <c r="R10">
        <f t="shared" si="2"/>
        <v>-1.4499999999999886</v>
      </c>
      <c r="S10">
        <f t="shared" si="3"/>
        <v>-1.75</v>
      </c>
      <c r="T10">
        <f t="shared" si="4"/>
        <v>7.5099999999999909</v>
      </c>
      <c r="U10">
        <f t="shared" si="5"/>
        <v>-1.3799999999999955</v>
      </c>
      <c r="V10">
        <f t="shared" si="6"/>
        <v>4.3500000000000227</v>
      </c>
      <c r="W10">
        <f t="shared" si="7"/>
        <v>5.5300000000000296</v>
      </c>
      <c r="X10">
        <f t="shared" si="8"/>
        <v>0.81000000000000227</v>
      </c>
      <c r="Y10">
        <f t="shared" si="9"/>
        <v>1.4499999999999886</v>
      </c>
      <c r="Z10">
        <f t="shared" si="10"/>
        <v>1.75</v>
      </c>
      <c r="AA10">
        <f t="shared" si="11"/>
        <v>7.5099999999999909</v>
      </c>
      <c r="AB10">
        <f t="shared" si="12"/>
        <v>1.3799999999999955</v>
      </c>
      <c r="AC10">
        <f t="shared" si="13"/>
        <v>4.3500000000000227</v>
      </c>
      <c r="AD10">
        <f t="shared" si="14"/>
        <v>30.580900000000327</v>
      </c>
      <c r="AE10">
        <f t="shared" si="15"/>
        <v>0.65610000000000368</v>
      </c>
      <c r="AF10">
        <f t="shared" si="16"/>
        <v>2.1024999999999672</v>
      </c>
      <c r="AG10">
        <f t="shared" si="17"/>
        <v>3.0625</v>
      </c>
      <c r="AH10">
        <f t="shared" si="18"/>
        <v>56.400099999999867</v>
      </c>
      <c r="AI10">
        <f t="shared" si="19"/>
        <v>1.9043999999999874</v>
      </c>
      <c r="AJ10">
        <f t="shared" si="20"/>
        <v>18.922500000000198</v>
      </c>
      <c r="AK10" s="3">
        <f t="shared" si="21"/>
        <v>2.112864402246601E-2</v>
      </c>
      <c r="AL10" s="3">
        <f t="shared" si="22"/>
        <v>2.2172949002217356E-3</v>
      </c>
      <c r="AM10" s="3">
        <f t="shared" si="23"/>
        <v>3.3560930447864568E-3</v>
      </c>
      <c r="AN10" s="3">
        <f t="shared" si="24"/>
        <v>3.7206335707451895E-3</v>
      </c>
      <c r="AO10" s="3">
        <f t="shared" si="25"/>
        <v>1.4599817259277963E-2</v>
      </c>
      <c r="AP10" s="3">
        <f t="shared" si="26"/>
        <v>2.4030089851640236E-3</v>
      </c>
      <c r="AQ10" s="3">
        <f t="shared" si="27"/>
        <v>7.3461116271215455E-3</v>
      </c>
      <c r="AR10">
        <f t="shared" si="28"/>
        <v>0.13428571428571395</v>
      </c>
      <c r="AS10">
        <f t="shared" si="29"/>
        <v>3.2542857142857184</v>
      </c>
      <c r="AT10">
        <f t="shared" si="30"/>
        <v>4.0289842746918652</v>
      </c>
      <c r="AU10" s="3">
        <f t="shared" si="31"/>
        <v>7.8245147728261324E-3</v>
      </c>
    </row>
    <row r="11" spans="1:47" x14ac:dyDescent="0.25">
      <c r="A11" s="10">
        <v>9</v>
      </c>
      <c r="B11" s="4">
        <v>291.8</v>
      </c>
      <c r="C11" s="4">
        <v>323.10000000000002</v>
      </c>
      <c r="D11" s="4">
        <v>306.10000000000002</v>
      </c>
      <c r="E11" s="4">
        <v>282</v>
      </c>
      <c r="F11" s="4">
        <v>273.8</v>
      </c>
      <c r="G11" s="4">
        <v>275.8</v>
      </c>
      <c r="H11" s="4">
        <v>271.8</v>
      </c>
      <c r="I11" s="4">
        <v>309.14</v>
      </c>
      <c r="J11" s="4">
        <v>324.10000000000002</v>
      </c>
      <c r="K11" s="4">
        <v>311.38</v>
      </c>
      <c r="L11" s="4">
        <v>285.39999999999998</v>
      </c>
      <c r="M11" s="4">
        <v>273.3</v>
      </c>
      <c r="N11" s="4">
        <v>273.18</v>
      </c>
      <c r="O11" s="4">
        <v>271.77999999999997</v>
      </c>
      <c r="P11">
        <f t="shared" si="0"/>
        <v>-17.339999999999975</v>
      </c>
      <c r="Q11">
        <f t="shared" si="1"/>
        <v>-1</v>
      </c>
      <c r="R11">
        <f t="shared" si="2"/>
        <v>-5.2799999999999727</v>
      </c>
      <c r="S11">
        <f t="shared" si="3"/>
        <v>-3.3999999999999773</v>
      </c>
      <c r="T11">
        <f t="shared" si="4"/>
        <v>0.5</v>
      </c>
      <c r="U11">
        <f t="shared" si="5"/>
        <v>2.6200000000000045</v>
      </c>
      <c r="V11">
        <f t="shared" si="6"/>
        <v>2.0000000000038654E-2</v>
      </c>
      <c r="W11">
        <f t="shared" si="7"/>
        <v>17.339999999999975</v>
      </c>
      <c r="X11">
        <f t="shared" si="8"/>
        <v>1</v>
      </c>
      <c r="Y11">
        <f t="shared" si="9"/>
        <v>5.2799999999999727</v>
      </c>
      <c r="Z11">
        <f t="shared" si="10"/>
        <v>3.3999999999999773</v>
      </c>
      <c r="AA11">
        <f t="shared" si="11"/>
        <v>0.5</v>
      </c>
      <c r="AB11">
        <f t="shared" si="12"/>
        <v>2.6200000000000045</v>
      </c>
      <c r="AC11">
        <f t="shared" si="13"/>
        <v>2.0000000000038654E-2</v>
      </c>
      <c r="AD11">
        <f t="shared" si="14"/>
        <v>300.67559999999912</v>
      </c>
      <c r="AE11">
        <f t="shared" si="15"/>
        <v>1</v>
      </c>
      <c r="AF11">
        <f t="shared" si="16"/>
        <v>27.878399999999711</v>
      </c>
      <c r="AG11">
        <f t="shared" si="17"/>
        <v>11.559999999999846</v>
      </c>
      <c r="AH11">
        <f t="shared" si="18"/>
        <v>0.25</v>
      </c>
      <c r="AI11">
        <f t="shared" si="19"/>
        <v>6.8644000000000238</v>
      </c>
      <c r="AJ11">
        <f t="shared" si="20"/>
        <v>4.0000000000154615E-4</v>
      </c>
      <c r="AK11" s="3">
        <f t="shared" si="21"/>
        <v>5.6091091414892852E-2</v>
      </c>
      <c r="AL11" s="3">
        <f t="shared" si="22"/>
        <v>3.0854674483184199E-3</v>
      </c>
      <c r="AM11" s="3">
        <f t="shared" si="23"/>
        <v>1.6956773074699637E-2</v>
      </c>
      <c r="AN11" s="3">
        <f t="shared" si="24"/>
        <v>1.1913104414856263E-2</v>
      </c>
      <c r="AO11" s="3">
        <f t="shared" si="25"/>
        <v>1.8294914013904135E-3</v>
      </c>
      <c r="AP11" s="3">
        <f t="shared" si="26"/>
        <v>9.5907460282597719E-3</v>
      </c>
      <c r="AQ11" s="3">
        <f t="shared" si="27"/>
        <v>7.3588932224735653E-5</v>
      </c>
      <c r="AR11">
        <f t="shared" si="28"/>
        <v>-3.4114285714285546</v>
      </c>
      <c r="AS11">
        <f t="shared" si="29"/>
        <v>4.3085714285714243</v>
      </c>
      <c r="AT11">
        <f t="shared" si="30"/>
        <v>7.0531532968291035</v>
      </c>
      <c r="AU11" s="3">
        <f t="shared" si="31"/>
        <v>1.4220037530663157E-2</v>
      </c>
    </row>
    <row r="12" spans="1:47" x14ac:dyDescent="0.25">
      <c r="AK12" s="3"/>
      <c r="AL12" s="3"/>
      <c r="AM12" s="3"/>
      <c r="AN12" s="3"/>
      <c r="AO12" s="3"/>
      <c r="AP12" s="3"/>
      <c r="AQ12" s="3"/>
      <c r="AU12" s="3"/>
    </row>
    <row r="13" spans="1:47" x14ac:dyDescent="0.25">
      <c r="A13" s="8" t="s">
        <v>59</v>
      </c>
      <c r="AR13" s="8">
        <f>AVERAGE(AR3:AR11)</f>
        <v>-2.2006349206349154</v>
      </c>
      <c r="AS13" s="8">
        <f>AVERAGE(AS3:AS11)</f>
        <v>10.020000000000001</v>
      </c>
      <c r="AT13" s="8">
        <f>SQRT(AVERAGE(AD3:AJ11))</f>
        <v>14.73877522856276</v>
      </c>
      <c r="AU13" s="9">
        <f>AVERAGE(AU3:AU11)</f>
        <v>1.8862254943488914E-2</v>
      </c>
    </row>
  </sheetData>
  <mergeCells count="1">
    <mergeCell ref="A1:A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tabSelected="1" workbookViewId="0">
      <selection activeCell="J24" sqref="J24"/>
    </sheetView>
  </sheetViews>
  <sheetFormatPr defaultRowHeight="15" x14ac:dyDescent="0.25"/>
  <cols>
    <col min="1" max="1" width="6" customWidth="1"/>
    <col min="2" max="3" width="14" customWidth="1"/>
    <col min="4" max="6" width="12" customWidth="1"/>
    <col min="7" max="7" width="10" customWidth="1"/>
    <col min="8" max="8" width="16" customWidth="1"/>
  </cols>
  <sheetData>
    <row r="1" spans="1:8" ht="18.75" x14ac:dyDescent="0.25">
      <c r="A1" s="18" t="s">
        <v>11</v>
      </c>
      <c r="B1" s="18"/>
      <c r="C1" s="18"/>
      <c r="D1" s="18"/>
      <c r="E1" s="18"/>
      <c r="F1" s="18"/>
      <c r="G1" s="18"/>
      <c r="H1" s="19"/>
    </row>
    <row r="2" spans="1:8" x14ac:dyDescent="0.25">
      <c r="A2" s="2" t="s">
        <v>13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64</v>
      </c>
      <c r="G2" s="2" t="s">
        <v>65</v>
      </c>
    </row>
    <row r="3" spans="1:8" x14ac:dyDescent="0.25">
      <c r="A3" s="10">
        <v>1</v>
      </c>
      <c r="B3" s="4">
        <v>1132.2</v>
      </c>
      <c r="C3" s="4">
        <v>1106.2</v>
      </c>
      <c r="D3">
        <f t="shared" ref="D3:D11" si="0">B3-C3</f>
        <v>26</v>
      </c>
      <c r="E3">
        <f t="shared" ref="E3:E11" si="1">ABS(D3)</f>
        <v>26</v>
      </c>
      <c r="F3">
        <f t="shared" ref="F3:F11" si="2">D3^2</f>
        <v>676</v>
      </c>
      <c r="G3" s="3">
        <f t="shared" ref="G3:G11" si="3">E3/C3</f>
        <v>2.350388718134153E-2</v>
      </c>
    </row>
    <row r="4" spans="1:8" x14ac:dyDescent="0.25">
      <c r="A4" s="10">
        <v>2</v>
      </c>
      <c r="B4" s="4">
        <v>734.5</v>
      </c>
      <c r="C4" s="4">
        <v>703.21</v>
      </c>
      <c r="D4">
        <f t="shared" si="0"/>
        <v>31.289999999999964</v>
      </c>
      <c r="E4">
        <f t="shared" si="1"/>
        <v>31.289999999999964</v>
      </c>
      <c r="F4">
        <f t="shared" si="2"/>
        <v>979.06409999999778</v>
      </c>
      <c r="G4" s="3">
        <f t="shared" si="3"/>
        <v>4.4495954266861905E-2</v>
      </c>
    </row>
    <row r="5" spans="1:8" x14ac:dyDescent="0.25">
      <c r="A5" s="10">
        <v>3</v>
      </c>
      <c r="B5" s="4">
        <v>1142.9000000000001</v>
      </c>
      <c r="C5" s="4">
        <v>1131.98</v>
      </c>
      <c r="D5">
        <f t="shared" si="0"/>
        <v>10.920000000000073</v>
      </c>
      <c r="E5">
        <f t="shared" si="1"/>
        <v>10.920000000000073</v>
      </c>
      <c r="F5">
        <f t="shared" si="2"/>
        <v>119.24640000000159</v>
      </c>
      <c r="G5" s="3">
        <f t="shared" si="3"/>
        <v>9.6468135479426068E-3</v>
      </c>
    </row>
    <row r="6" spans="1:8" x14ac:dyDescent="0.25">
      <c r="A6" s="10">
        <v>4</v>
      </c>
      <c r="B6" s="4">
        <v>1547.2</v>
      </c>
      <c r="C6" s="4">
        <v>1446.2</v>
      </c>
      <c r="D6">
        <f t="shared" si="0"/>
        <v>101</v>
      </c>
      <c r="E6">
        <f t="shared" si="1"/>
        <v>101</v>
      </c>
      <c r="F6">
        <f t="shared" si="2"/>
        <v>10201</v>
      </c>
      <c r="G6" s="3">
        <f t="shared" si="3"/>
        <v>6.9838196653298296E-2</v>
      </c>
    </row>
    <row r="7" spans="1:8" x14ac:dyDescent="0.25">
      <c r="A7" s="10">
        <v>5</v>
      </c>
      <c r="B7" s="4">
        <v>2018.1</v>
      </c>
      <c r="C7" s="4">
        <v>1992.23</v>
      </c>
      <c r="D7">
        <f t="shared" si="0"/>
        <v>25.869999999999891</v>
      </c>
      <c r="E7">
        <f t="shared" si="1"/>
        <v>25.869999999999891</v>
      </c>
      <c r="F7">
        <f t="shared" si="2"/>
        <v>669.2568999999944</v>
      </c>
      <c r="G7" s="3">
        <f t="shared" si="3"/>
        <v>1.2985448467295388E-2</v>
      </c>
    </row>
    <row r="8" spans="1:8" x14ac:dyDescent="0.25">
      <c r="A8" s="11">
        <v>6</v>
      </c>
      <c r="B8" s="5">
        <v>850.9</v>
      </c>
      <c r="C8" s="5">
        <v>766.85</v>
      </c>
      <c r="D8" s="6">
        <f t="shared" si="0"/>
        <v>84.049999999999955</v>
      </c>
      <c r="E8" s="6">
        <f t="shared" si="1"/>
        <v>84.049999999999955</v>
      </c>
      <c r="F8" s="6">
        <f t="shared" si="2"/>
        <v>7064.402499999992</v>
      </c>
      <c r="G8" s="7">
        <f t="shared" si="3"/>
        <v>0.10960422507661205</v>
      </c>
    </row>
    <row r="9" spans="1:8" x14ac:dyDescent="0.25">
      <c r="A9" s="11">
        <v>7</v>
      </c>
      <c r="B9" s="5">
        <v>1901</v>
      </c>
      <c r="C9" s="5">
        <v>1680.43</v>
      </c>
      <c r="D9" s="6">
        <f t="shared" si="0"/>
        <v>220.56999999999994</v>
      </c>
      <c r="E9" s="6">
        <f t="shared" si="1"/>
        <v>220.56999999999994</v>
      </c>
      <c r="F9" s="6">
        <f t="shared" si="2"/>
        <v>48651.124899999973</v>
      </c>
      <c r="G9" s="7">
        <f t="shared" si="3"/>
        <v>0.13125807085091312</v>
      </c>
    </row>
    <row r="10" spans="1:8" x14ac:dyDescent="0.25">
      <c r="A10" s="10">
        <v>8</v>
      </c>
      <c r="B10" s="4">
        <v>858</v>
      </c>
      <c r="C10" s="4">
        <v>829.17</v>
      </c>
      <c r="D10">
        <f t="shared" si="0"/>
        <v>28.830000000000041</v>
      </c>
      <c r="E10">
        <f t="shared" si="1"/>
        <v>28.830000000000041</v>
      </c>
      <c r="F10">
        <f t="shared" si="2"/>
        <v>831.1689000000024</v>
      </c>
      <c r="G10" s="3">
        <f t="shared" si="3"/>
        <v>3.4769709468504703E-2</v>
      </c>
    </row>
    <row r="11" spans="1:8" x14ac:dyDescent="0.25">
      <c r="A11" s="11">
        <v>9</v>
      </c>
      <c r="B11" s="5">
        <v>443.8</v>
      </c>
      <c r="C11" s="5">
        <v>408.18</v>
      </c>
      <c r="D11" s="6">
        <f t="shared" si="0"/>
        <v>35.620000000000005</v>
      </c>
      <c r="E11" s="6">
        <f t="shared" si="1"/>
        <v>35.620000000000005</v>
      </c>
      <c r="F11" s="6">
        <f t="shared" si="2"/>
        <v>1268.7844000000002</v>
      </c>
      <c r="G11" s="7">
        <f t="shared" si="3"/>
        <v>8.7265422117693184E-2</v>
      </c>
    </row>
    <row r="12" spans="1:8" x14ac:dyDescent="0.25">
      <c r="G12" s="3"/>
    </row>
    <row r="13" spans="1:8" x14ac:dyDescent="0.25">
      <c r="A13" s="8" t="s">
        <v>59</v>
      </c>
      <c r="D13" s="8">
        <f>AVERAGE(D3:D11)</f>
        <v>62.683333333333316</v>
      </c>
      <c r="E13" s="8">
        <f>AVERAGE(E3:E11)</f>
        <v>62.683333333333316</v>
      </c>
      <c r="F13" s="8">
        <f>SQRT(AVERAGE(F3:F11))</f>
        <v>88.481038835070933</v>
      </c>
      <c r="G13" s="9">
        <f>AVERAGE(G3:G11)</f>
        <v>5.8151969736718087E-2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selection sqref="A1:J1"/>
    </sheetView>
  </sheetViews>
  <sheetFormatPr defaultRowHeight="15" x14ac:dyDescent="0.25"/>
  <cols>
    <col min="1" max="1" width="6" customWidth="1"/>
    <col min="2" max="4" width="12" customWidth="1"/>
    <col min="5" max="5" width="11" customWidth="1"/>
    <col min="6" max="7" width="12" customWidth="1"/>
    <col min="8" max="8" width="11" customWidth="1"/>
    <col min="9" max="10" width="12" customWidth="1"/>
  </cols>
  <sheetData>
    <row r="1" spans="1:10" ht="18.75" x14ac:dyDescent="0.25">
      <c r="A1" s="18" t="s">
        <v>66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2" t="s">
        <v>13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60</v>
      </c>
      <c r="J2" s="2" t="s">
        <v>61</v>
      </c>
    </row>
    <row r="3" spans="1:10" x14ac:dyDescent="0.25">
      <c r="A3" s="10">
        <v>1</v>
      </c>
      <c r="B3">
        <f>Cross_Lines!AR3</f>
        <v>-3.961428571428574</v>
      </c>
      <c r="C3">
        <f>Cross_Lines!AS3</f>
        <v>7.747142857142852</v>
      </c>
      <c r="D3">
        <f>Cross_Lines!AT3</f>
        <v>11.002006959771336</v>
      </c>
      <c r="E3" s="3">
        <f>Cross_Lines!AU3</f>
        <v>1.9629081387636242E-2</v>
      </c>
      <c r="F3">
        <f>Leaf_Lengths!D3</f>
        <v>26</v>
      </c>
      <c r="G3">
        <f>Leaf_Lengths!E3</f>
        <v>26</v>
      </c>
      <c r="H3" s="3">
        <f>Leaf_Lengths!G3</f>
        <v>2.350388718134153E-2</v>
      </c>
      <c r="I3">
        <f>Leaf_Lengths!B3</f>
        <v>1132.2</v>
      </c>
      <c r="J3">
        <f>Leaf_Lengths!C3</f>
        <v>1106.2</v>
      </c>
    </row>
    <row r="4" spans="1:10" x14ac:dyDescent="0.25">
      <c r="A4" s="10">
        <v>2</v>
      </c>
      <c r="B4">
        <f>Cross_Lines!AR4</f>
        <v>-4.1214285714285426</v>
      </c>
      <c r="C4">
        <f>Cross_Lines!AS4</f>
        <v>9.4471428571428238</v>
      </c>
      <c r="D4">
        <f>Cross_Lines!AT4</f>
        <v>11.3953141998931</v>
      </c>
      <c r="E4" s="3">
        <f>Cross_Lines!AU4</f>
        <v>1.801479324596952E-2</v>
      </c>
      <c r="F4">
        <f>Leaf_Lengths!D4</f>
        <v>31.289999999999964</v>
      </c>
      <c r="G4">
        <f>Leaf_Lengths!E4</f>
        <v>31.289999999999964</v>
      </c>
      <c r="H4" s="3">
        <f>Leaf_Lengths!G4</f>
        <v>4.4495954266861905E-2</v>
      </c>
      <c r="I4">
        <f>Leaf_Lengths!B4</f>
        <v>734.5</v>
      </c>
      <c r="J4">
        <f>Leaf_Lengths!C4</f>
        <v>703.21</v>
      </c>
    </row>
    <row r="5" spans="1:10" x14ac:dyDescent="0.25">
      <c r="A5" s="10">
        <v>3</v>
      </c>
      <c r="B5">
        <f>Cross_Lines!AR5</f>
        <v>-1.2757142857142827</v>
      </c>
      <c r="C5">
        <f>Cross_Lines!AS5</f>
        <v>2.3528571428571508</v>
      </c>
      <c r="D5">
        <f>Cross_Lines!AT5</f>
        <v>2.7172859358453363</v>
      </c>
      <c r="E5" s="3">
        <f>Cross_Lines!AU5</f>
        <v>6.2392214842055182E-3</v>
      </c>
      <c r="F5">
        <f>Leaf_Lengths!D5</f>
        <v>10.920000000000073</v>
      </c>
      <c r="G5">
        <f>Leaf_Lengths!E5</f>
        <v>10.920000000000073</v>
      </c>
      <c r="H5" s="3">
        <f>Leaf_Lengths!G5</f>
        <v>9.6468135479426068E-3</v>
      </c>
      <c r="I5">
        <f>Leaf_Lengths!B5</f>
        <v>1142.9000000000001</v>
      </c>
      <c r="J5">
        <f>Leaf_Lengths!C5</f>
        <v>1131.98</v>
      </c>
    </row>
    <row r="6" spans="1:10" x14ac:dyDescent="0.25">
      <c r="A6" s="10">
        <v>4</v>
      </c>
      <c r="B6">
        <f>Cross_Lines!AR6</f>
        <v>-12.742857142857165</v>
      </c>
      <c r="C6">
        <f>Cross_Lines!AS6</f>
        <v>14.1457142857143</v>
      </c>
      <c r="D6">
        <f>Cross_Lines!AT6</f>
        <v>17.071977038410065</v>
      </c>
      <c r="E6" s="3">
        <f>Cross_Lines!AU6</f>
        <v>1.5792292183101426E-2</v>
      </c>
      <c r="F6">
        <f>Leaf_Lengths!D6</f>
        <v>101</v>
      </c>
      <c r="G6">
        <f>Leaf_Lengths!E6</f>
        <v>101</v>
      </c>
      <c r="H6" s="3">
        <f>Leaf_Lengths!G6</f>
        <v>6.9838196653298296E-2</v>
      </c>
      <c r="I6">
        <f>Leaf_Lengths!B6</f>
        <v>1547.2</v>
      </c>
      <c r="J6">
        <f>Leaf_Lengths!C6</f>
        <v>1446.2</v>
      </c>
    </row>
    <row r="7" spans="1:10" x14ac:dyDescent="0.25">
      <c r="A7" s="10">
        <v>5</v>
      </c>
      <c r="B7">
        <f>Cross_Lines!AR7</f>
        <v>-14.192857142857125</v>
      </c>
      <c r="C7">
        <f>Cross_Lines!AS7</f>
        <v>14.338571428571409</v>
      </c>
      <c r="D7">
        <f>Cross_Lines!AT7</f>
        <v>20.840844855372659</v>
      </c>
      <c r="E7" s="3">
        <f>Cross_Lines!AU7</f>
        <v>2.3847904188386219E-2</v>
      </c>
      <c r="F7">
        <f>Leaf_Lengths!D7</f>
        <v>25.869999999999891</v>
      </c>
      <c r="G7">
        <f>Leaf_Lengths!E7</f>
        <v>25.869999999999891</v>
      </c>
      <c r="H7" s="3">
        <f>Leaf_Lengths!G7</f>
        <v>1.2985448467295388E-2</v>
      </c>
      <c r="I7">
        <f>Leaf_Lengths!B7</f>
        <v>2018.1</v>
      </c>
      <c r="J7">
        <f>Leaf_Lengths!C7</f>
        <v>1992.23</v>
      </c>
    </row>
    <row r="8" spans="1:10" x14ac:dyDescent="0.25">
      <c r="A8" s="10">
        <v>6</v>
      </c>
      <c r="B8">
        <f>Cross_Lines!AR8</f>
        <v>7.337142857142867</v>
      </c>
      <c r="C8">
        <f>Cross_Lines!AS8</f>
        <v>13.562857142857174</v>
      </c>
      <c r="D8">
        <f>Cross_Lines!AT8</f>
        <v>16.091247842938035</v>
      </c>
      <c r="E8" s="3">
        <f>Cross_Lines!AU8</f>
        <v>3.9333652029070007E-2</v>
      </c>
      <c r="F8">
        <f>Leaf_Lengths!D8</f>
        <v>84.049999999999955</v>
      </c>
      <c r="G8">
        <f>Leaf_Lengths!E8</f>
        <v>84.049999999999955</v>
      </c>
      <c r="H8" s="3">
        <f>Leaf_Lengths!G8</f>
        <v>0.10960422507661205</v>
      </c>
      <c r="I8">
        <f>Leaf_Lengths!B8</f>
        <v>850.9</v>
      </c>
      <c r="J8">
        <f>Leaf_Lengths!C8</f>
        <v>766.85</v>
      </c>
    </row>
    <row r="9" spans="1:10" x14ac:dyDescent="0.25">
      <c r="A9" s="10">
        <v>7</v>
      </c>
      <c r="B9">
        <f>Cross_Lines!AR9</f>
        <v>12.428571428571429</v>
      </c>
      <c r="C9">
        <f>Cross_Lines!AS9</f>
        <v>21.022857142857156</v>
      </c>
      <c r="D9">
        <f>Cross_Lines!AT9</f>
        <v>25.418523054766876</v>
      </c>
      <c r="E9" s="3">
        <f>Cross_Lines!AU9</f>
        <v>2.4858797669542011E-2</v>
      </c>
      <c r="F9">
        <f>Leaf_Lengths!D9</f>
        <v>220.56999999999994</v>
      </c>
      <c r="G9">
        <f>Leaf_Lengths!E9</f>
        <v>220.56999999999994</v>
      </c>
      <c r="H9" s="3">
        <f>Leaf_Lengths!G9</f>
        <v>0.13125807085091312</v>
      </c>
      <c r="I9">
        <f>Leaf_Lengths!B9</f>
        <v>1901</v>
      </c>
      <c r="J9">
        <f>Leaf_Lengths!C9</f>
        <v>1680.43</v>
      </c>
    </row>
    <row r="10" spans="1:10" x14ac:dyDescent="0.25">
      <c r="A10" s="10">
        <v>8</v>
      </c>
      <c r="B10">
        <f>Cross_Lines!AR10</f>
        <v>0.13428571428571395</v>
      </c>
      <c r="C10">
        <f>Cross_Lines!AS10</f>
        <v>3.2542857142857184</v>
      </c>
      <c r="D10">
        <f>Cross_Lines!AT10</f>
        <v>4.0289842746918652</v>
      </c>
      <c r="E10" s="3">
        <f>Cross_Lines!AU10</f>
        <v>7.8245147728261324E-3</v>
      </c>
      <c r="F10">
        <f>Leaf_Lengths!D10</f>
        <v>28.830000000000041</v>
      </c>
      <c r="G10">
        <f>Leaf_Lengths!E10</f>
        <v>28.830000000000041</v>
      </c>
      <c r="H10" s="3">
        <f>Leaf_Lengths!G10</f>
        <v>3.4769709468504703E-2</v>
      </c>
      <c r="I10">
        <f>Leaf_Lengths!B10</f>
        <v>858</v>
      </c>
      <c r="J10">
        <f>Leaf_Lengths!C10</f>
        <v>829.17</v>
      </c>
    </row>
    <row r="11" spans="1:10" x14ac:dyDescent="0.25">
      <c r="A11" s="10">
        <v>9</v>
      </c>
      <c r="B11">
        <f>Cross_Lines!AR11</f>
        <v>-3.4114285714285546</v>
      </c>
      <c r="C11">
        <f>Cross_Lines!AS11</f>
        <v>4.3085714285714243</v>
      </c>
      <c r="D11">
        <f>Cross_Lines!AT11</f>
        <v>7.0531532968291035</v>
      </c>
      <c r="E11" s="3">
        <f>Cross_Lines!AU11</f>
        <v>1.4220037530663157E-2</v>
      </c>
      <c r="F11">
        <f>Leaf_Lengths!D11</f>
        <v>35.620000000000005</v>
      </c>
      <c r="G11">
        <f>Leaf_Lengths!E11</f>
        <v>35.620000000000005</v>
      </c>
      <c r="H11" s="3">
        <f>Leaf_Lengths!G11</f>
        <v>8.7265422117693184E-2</v>
      </c>
      <c r="I11">
        <f>Leaf_Lengths!B11</f>
        <v>443.8</v>
      </c>
      <c r="J11">
        <f>Leaf_Lengths!C11</f>
        <v>408.18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Summary</vt:lpstr>
      <vt:lpstr>Cross_Lines</vt:lpstr>
      <vt:lpstr>Leaf_Lengths</vt:lpstr>
      <vt:lpstr>Case_Summary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Pavel</cp:lastModifiedBy>
  <dcterms:created xsi:type="dcterms:W3CDTF">2026-04-04T15:17:42Z</dcterms:created>
  <dcterms:modified xsi:type="dcterms:W3CDTF">2026-05-03T11:06:22Z</dcterms:modified>
</cp:coreProperties>
</file>